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451A93E-025F-4022-846C-9EE7706E9FAB}" xr6:coauthVersionLast="47" xr6:coauthVersionMax="47" xr10:uidLastSave="{00000000-0000-0000-0000-000000000000}"/>
  <bookViews>
    <workbookView xWindow="-120" yWindow="-120" windowWidth="20730" windowHeight="11160" tabRatio="690" xr2:uid="{00000000-000D-0000-FFFF-FFFF00000000}"/>
  </bookViews>
  <sheets>
    <sheet name="Vic-Stock" sheetId="41" r:id="rId1"/>
    <sheet name="Picture" sheetId="42" state="hidden" r:id="rId2"/>
    <sheet name="Sheet1" sheetId="43" state="hidden" r:id="rId3"/>
  </sheets>
  <definedNames>
    <definedName name="_xlnm._FilterDatabase" localSheetId="0" hidden="1">'Vic-Stock'!$J$1:$J$300</definedName>
    <definedName name="_xlnm.Print_Titles" localSheetId="0">'Vic-Stock'!$2:$2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41" l="1"/>
  <c r="F50" i="41" l="1"/>
  <c r="F51" i="41"/>
  <c r="D51" i="41"/>
  <c r="D50" i="41"/>
  <c r="D271" i="41"/>
  <c r="F271" i="41"/>
  <c r="H271" i="41" s="1"/>
  <c r="I271" i="41" s="1"/>
  <c r="J271" i="41" s="1"/>
  <c r="D272" i="41"/>
  <c r="F272" i="41"/>
  <c r="H272" i="41" s="1"/>
  <c r="I272" i="41" s="1"/>
  <c r="J272" i="41" s="1"/>
  <c r="D264" i="41"/>
  <c r="F264" i="41"/>
  <c r="H264" i="41" s="1"/>
  <c r="I264" i="41" s="1"/>
  <c r="J264" i="41" s="1"/>
  <c r="D265" i="41"/>
  <c r="F265" i="41"/>
  <c r="H265" i="41" s="1"/>
  <c r="I265" i="41" s="1"/>
  <c r="J265" i="41" s="1"/>
  <c r="D266" i="41"/>
  <c r="F266" i="41"/>
  <c r="H266" i="41" s="1"/>
  <c r="I266" i="41" s="1"/>
  <c r="J266" i="41" s="1"/>
  <c r="D267" i="41"/>
  <c r="F267" i="41"/>
  <c r="H267" i="41" s="1"/>
  <c r="I267" i="41" s="1"/>
  <c r="J267" i="41" s="1"/>
  <c r="D268" i="41"/>
  <c r="F268" i="41"/>
  <c r="H268" i="41" s="1"/>
  <c r="I268" i="41" s="1"/>
  <c r="J268" i="41" s="1"/>
  <c r="D269" i="41"/>
  <c r="F269" i="41"/>
  <c r="H269" i="41" s="1"/>
  <c r="I269" i="41" s="1"/>
  <c r="J269" i="41" s="1"/>
  <c r="D270" i="41"/>
  <c r="F270" i="41"/>
  <c r="H270" i="41" s="1"/>
  <c r="I270" i="41" s="1"/>
  <c r="J270" i="41" s="1"/>
  <c r="D263" i="41"/>
  <c r="F263" i="41"/>
  <c r="H263" i="41" s="1"/>
  <c r="I263" i="41" s="1"/>
  <c r="J263" i="41" s="1"/>
  <c r="F65" i="41"/>
  <c r="H50" i="41" l="1"/>
  <c r="I50" i="41" s="1"/>
  <c r="J50" i="41" s="1"/>
  <c r="H51" i="41"/>
  <c r="I51" i="41" s="1"/>
  <c r="J51" i="41" s="1"/>
  <c r="F197" i="41"/>
  <c r="H197" i="41" s="1"/>
  <c r="I197" i="41" s="1"/>
  <c r="J197" i="41" s="1"/>
  <c r="F26" i="41"/>
  <c r="H26" i="41" s="1"/>
  <c r="I26" i="41" s="1"/>
  <c r="J26" i="41" s="1"/>
  <c r="F25" i="41"/>
  <c r="H25" i="41" s="1"/>
  <c r="I25" i="41" s="1"/>
  <c r="J25" i="41" s="1"/>
  <c r="F27" i="41"/>
  <c r="H27" i="41" s="1"/>
  <c r="I27" i="41" s="1"/>
  <c r="J27" i="41" s="1"/>
  <c r="D25" i="41"/>
  <c r="D26" i="41"/>
  <c r="D27" i="41"/>
  <c r="D101" i="41"/>
  <c r="F101" i="41"/>
  <c r="H101" i="41" s="1"/>
  <c r="I101" i="41" s="1"/>
  <c r="J101" i="41" s="1"/>
  <c r="F262" i="41"/>
  <c r="F194" i="41"/>
  <c r="H194" i="41" s="1"/>
  <c r="I194" i="41" s="1"/>
  <c r="J194" i="41" s="1"/>
  <c r="F195" i="41"/>
  <c r="H195" i="41" s="1"/>
  <c r="I195" i="41" s="1"/>
  <c r="J195" i="41" s="1"/>
  <c r="F196" i="41"/>
  <c r="H196" i="41" s="1"/>
  <c r="I196" i="41" s="1"/>
  <c r="J196" i="41" s="1"/>
  <c r="D197" i="41"/>
  <c r="D196" i="41"/>
  <c r="D195" i="41"/>
  <c r="D194" i="41"/>
  <c r="F33" i="41" l="1"/>
  <c r="H33" i="41" s="1"/>
  <c r="I33" i="41" s="1"/>
  <c r="J33" i="41" s="1"/>
  <c r="F32" i="41"/>
  <c r="H32" i="41" s="1"/>
  <c r="I32" i="41" s="1"/>
  <c r="J32" i="41" s="1"/>
  <c r="D33" i="41"/>
  <c r="D32" i="41"/>
  <c r="D219" i="41"/>
  <c r="F219" i="41"/>
  <c r="H219" i="41" s="1"/>
  <c r="I219" i="41" s="1"/>
  <c r="J219" i="41" s="1"/>
  <c r="D193" i="41" l="1"/>
  <c r="F193" i="41"/>
  <c r="H193" i="41" s="1"/>
  <c r="I193" i="41" s="1"/>
  <c r="J193" i="41" s="1"/>
  <c r="D192" i="41"/>
  <c r="F192" i="41"/>
  <c r="H192" i="41" s="1"/>
  <c r="I192" i="41" s="1"/>
  <c r="J192" i="41" s="1"/>
  <c r="F92" i="41"/>
  <c r="H92" i="41" s="1"/>
  <c r="I92" i="41" s="1"/>
  <c r="J92" i="41" s="1"/>
  <c r="F91" i="41"/>
  <c r="H91" i="41" s="1"/>
  <c r="I91" i="41" s="1"/>
  <c r="J91" i="41" s="1"/>
  <c r="D92" i="41"/>
  <c r="D91" i="41"/>
  <c r="F166" i="41" l="1"/>
  <c r="H166" i="41" s="1"/>
  <c r="I166" i="41" s="1"/>
  <c r="J166" i="41" s="1"/>
  <c r="F167" i="41"/>
  <c r="H167" i="41" s="1"/>
  <c r="I167" i="41" s="1"/>
  <c r="J167" i="41" s="1"/>
  <c r="D167" i="41"/>
  <c r="D166" i="41"/>
  <c r="D100" i="41" l="1"/>
  <c r="F100" i="41"/>
  <c r="H100" i="41" s="1"/>
  <c r="I100" i="41" s="1"/>
  <c r="J100" i="41" s="1"/>
  <c r="D99" i="41"/>
  <c r="F99" i="41"/>
  <c r="H99" i="41" s="1"/>
  <c r="I99" i="41" s="1"/>
  <c r="J99" i="41" s="1"/>
  <c r="D207" i="41"/>
  <c r="F207" i="41"/>
  <c r="H207" i="41" s="1"/>
  <c r="I207" i="41" s="1"/>
  <c r="J207" i="41" s="1"/>
  <c r="D206" i="41"/>
  <c r="F206" i="41"/>
  <c r="H206" i="41" s="1"/>
  <c r="I206" i="41" s="1"/>
  <c r="J206" i="41" s="1"/>
  <c r="F77" i="41"/>
  <c r="H77" i="41" s="1"/>
  <c r="I77" i="41" s="1"/>
  <c r="J77" i="41" s="1"/>
  <c r="D77" i="41"/>
  <c r="D75" i="41" l="1"/>
  <c r="F75" i="41"/>
  <c r="H75" i="41" s="1"/>
  <c r="I75" i="41" s="1"/>
  <c r="J75" i="41" s="1"/>
  <c r="D76" i="41"/>
  <c r="F76" i="41"/>
  <c r="H76" i="41" s="1"/>
  <c r="I76" i="41" s="1"/>
  <c r="J76" i="41" s="1"/>
  <c r="F170" i="41"/>
  <c r="H170" i="41" s="1"/>
  <c r="I170" i="41" s="1"/>
  <c r="J170" i="41" s="1"/>
  <c r="D170" i="41"/>
  <c r="D169" i="41"/>
  <c r="F169" i="41"/>
  <c r="H169" i="41" s="1"/>
  <c r="I169" i="41" s="1"/>
  <c r="J169" i="41" s="1"/>
  <c r="F86" i="41"/>
  <c r="H86" i="41" s="1"/>
  <c r="I86" i="41" s="1"/>
  <c r="J86" i="41" s="1"/>
  <c r="D86" i="41"/>
  <c r="D227" i="41" l="1"/>
  <c r="D228" i="41"/>
  <c r="D229" i="41"/>
  <c r="D230" i="41"/>
  <c r="D231" i="41"/>
  <c r="D232" i="41"/>
  <c r="D233" i="41"/>
  <c r="D234" i="41"/>
  <c r="D235" i="41"/>
  <c r="D236" i="41"/>
  <c r="D237" i="41"/>
  <c r="D238" i="41"/>
  <c r="D239" i="41"/>
  <c r="D240" i="41"/>
  <c r="D241" i="41"/>
  <c r="D242" i="41"/>
  <c r="D243" i="41"/>
  <c r="D244" i="41"/>
  <c r="D245" i="41"/>
  <c r="D246" i="41"/>
  <c r="D247" i="41"/>
  <c r="D248" i="41"/>
  <c r="D249" i="41"/>
  <c r="D250" i="41"/>
  <c r="D251" i="41"/>
  <c r="D252" i="41"/>
  <c r="D253" i="41"/>
  <c r="D254" i="41"/>
  <c r="D255" i="41"/>
  <c r="D256" i="41"/>
  <c r="D257" i="41"/>
  <c r="D258" i="41"/>
  <c r="D259" i="41"/>
  <c r="D260" i="41"/>
  <c r="D261" i="41"/>
  <c r="D262" i="41"/>
  <c r="D273" i="41"/>
  <c r="D274" i="41"/>
  <c r="D275" i="41"/>
  <c r="D276" i="41"/>
  <c r="D277" i="41"/>
  <c r="D278" i="41"/>
  <c r="D279" i="41"/>
  <c r="D280" i="41"/>
  <c r="D281" i="41"/>
  <c r="D282" i="41"/>
  <c r="D283" i="41"/>
  <c r="D284" i="41"/>
  <c r="D285" i="41"/>
  <c r="D286" i="41"/>
  <c r="D287" i="41"/>
  <c r="D288" i="41"/>
  <c r="D289" i="41"/>
  <c r="D290" i="41"/>
  <c r="D226" i="41"/>
  <c r="F78" i="41" l="1"/>
  <c r="D78" i="41"/>
  <c r="H78" i="41" l="1"/>
  <c r="I78" i="41" s="1"/>
  <c r="J78" i="41" s="1"/>
  <c r="F179" i="41"/>
  <c r="H179" i="41" s="1"/>
  <c r="I179" i="41" s="1"/>
  <c r="J179" i="41" s="1"/>
  <c r="F178" i="41"/>
  <c r="H178" i="41" s="1"/>
  <c r="I178" i="41" s="1"/>
  <c r="J178" i="41" s="1"/>
  <c r="D178" i="41"/>
  <c r="D179" i="41"/>
  <c r="F74" i="41"/>
  <c r="H74" i="41" s="1"/>
  <c r="I74" i="41" s="1"/>
  <c r="J74" i="41" s="1"/>
  <c r="F73" i="41"/>
  <c r="H73" i="41" s="1"/>
  <c r="I73" i="41" s="1"/>
  <c r="J73" i="41" s="1"/>
  <c r="F72" i="41"/>
  <c r="H72" i="41" s="1"/>
  <c r="I72" i="41" s="1"/>
  <c r="J72" i="41" s="1"/>
  <c r="D72" i="41"/>
  <c r="D73" i="41"/>
  <c r="D74" i="41"/>
  <c r="D80" i="41"/>
  <c r="F80" i="41"/>
  <c r="H80" i="41" s="1"/>
  <c r="I80" i="41" s="1"/>
  <c r="J80" i="41" s="1"/>
  <c r="D81" i="41"/>
  <c r="F81" i="41"/>
  <c r="H81" i="41" s="1"/>
  <c r="I81" i="41" s="1"/>
  <c r="J81" i="41" s="1"/>
  <c r="D82" i="41"/>
  <c r="F82" i="41"/>
  <c r="H82" i="41" s="1"/>
  <c r="I82" i="41" s="1"/>
  <c r="J82" i="41" s="1"/>
  <c r="D79" i="41"/>
  <c r="F79" i="41"/>
  <c r="H79" i="41" s="1"/>
  <c r="I79" i="41" s="1"/>
  <c r="J79" i="41" s="1"/>
  <c r="D83" i="41"/>
  <c r="F83" i="41"/>
  <c r="H83" i="41" s="1"/>
  <c r="I83" i="41" s="1"/>
  <c r="J83" i="41" s="1"/>
  <c r="D84" i="41"/>
  <c r="F84" i="41"/>
  <c r="H84" i="41" s="1"/>
  <c r="I84" i="41" s="1"/>
  <c r="J84" i="41" s="1"/>
  <c r="D85" i="41"/>
  <c r="F85" i="41"/>
  <c r="H85" i="41" s="1"/>
  <c r="I85" i="41" s="1"/>
  <c r="J85" i="41" s="1"/>
  <c r="D87" i="41"/>
  <c r="F87" i="41"/>
  <c r="H87" i="41" s="1"/>
  <c r="I87" i="41" s="1"/>
  <c r="J87" i="41" s="1"/>
  <c r="D122" i="41"/>
  <c r="F122" i="41" l="1"/>
  <c r="H122" i="41" s="1"/>
  <c r="I122" i="41" s="1"/>
  <c r="J122" i="41" s="1"/>
  <c r="D46" i="41" l="1"/>
  <c r="D45" i="41"/>
  <c r="D44" i="41"/>
  <c r="D43" i="41"/>
  <c r="F43" i="41"/>
  <c r="H43" i="41" s="1"/>
  <c r="I43" i="41" s="1"/>
  <c r="J43" i="41" s="1"/>
  <c r="F44" i="41"/>
  <c r="H44" i="41" s="1"/>
  <c r="I44" i="41" s="1"/>
  <c r="J44" i="41" s="1"/>
  <c r="F45" i="41"/>
  <c r="H45" i="41" s="1"/>
  <c r="I45" i="41" s="1"/>
  <c r="J45" i="41" s="1"/>
  <c r="F46" i="41"/>
  <c r="H46" i="41" s="1"/>
  <c r="I46" i="41" s="1"/>
  <c r="J46" i="41" s="1"/>
  <c r="F161" i="41"/>
  <c r="H161" i="41" s="1"/>
  <c r="I161" i="41" s="1"/>
  <c r="J161" i="41" s="1"/>
  <c r="D161" i="41"/>
  <c r="F229" i="41"/>
  <c r="H229" i="41" s="1"/>
  <c r="I229" i="41" s="1"/>
  <c r="J229" i="41" s="1"/>
  <c r="F230" i="41"/>
  <c r="H230" i="41" s="1"/>
  <c r="I230" i="41" s="1"/>
  <c r="J230" i="41" s="1"/>
  <c r="F231" i="41"/>
  <c r="H231" i="41" s="1"/>
  <c r="I231" i="41" s="1"/>
  <c r="J231" i="41" s="1"/>
  <c r="F232" i="41"/>
  <c r="H232" i="41" s="1"/>
  <c r="I232" i="41" s="1"/>
  <c r="J232" i="41" s="1"/>
  <c r="F233" i="41"/>
  <c r="H233" i="41" s="1"/>
  <c r="I233" i="41" s="1"/>
  <c r="J233" i="41" s="1"/>
  <c r="F234" i="41"/>
  <c r="H234" i="41" s="1"/>
  <c r="I234" i="41" s="1"/>
  <c r="J234" i="41" s="1"/>
  <c r="F235" i="41"/>
  <c r="H235" i="41" s="1"/>
  <c r="I235" i="41" s="1"/>
  <c r="J235" i="41" s="1"/>
  <c r="F236" i="41"/>
  <c r="H236" i="41" s="1"/>
  <c r="I236" i="41" s="1"/>
  <c r="J236" i="41" s="1"/>
  <c r="F237" i="41"/>
  <c r="H237" i="41" s="1"/>
  <c r="I237" i="41" s="1"/>
  <c r="J237" i="41" s="1"/>
  <c r="F238" i="41"/>
  <c r="H238" i="41" s="1"/>
  <c r="I238" i="41" s="1"/>
  <c r="J238" i="41" s="1"/>
  <c r="F239" i="41"/>
  <c r="H239" i="41" s="1"/>
  <c r="I239" i="41" s="1"/>
  <c r="J239" i="41" s="1"/>
  <c r="F240" i="41"/>
  <c r="H240" i="41" s="1"/>
  <c r="I240" i="41" s="1"/>
  <c r="J240" i="41" s="1"/>
  <c r="F241" i="41"/>
  <c r="H241" i="41" s="1"/>
  <c r="I241" i="41" s="1"/>
  <c r="J241" i="41" s="1"/>
  <c r="F242" i="41"/>
  <c r="H242" i="41" s="1"/>
  <c r="I242" i="41" s="1"/>
  <c r="J242" i="41" s="1"/>
  <c r="F243" i="41"/>
  <c r="H243" i="41" s="1"/>
  <c r="I243" i="41" s="1"/>
  <c r="J243" i="41" s="1"/>
  <c r="F244" i="41"/>
  <c r="H244" i="41" s="1"/>
  <c r="I244" i="41" s="1"/>
  <c r="J244" i="41" s="1"/>
  <c r="F245" i="41"/>
  <c r="H245" i="41" s="1"/>
  <c r="I245" i="41" s="1"/>
  <c r="J245" i="41" s="1"/>
  <c r="F247" i="41"/>
  <c r="H247" i="41" s="1"/>
  <c r="I247" i="41" s="1"/>
  <c r="J247" i="41" s="1"/>
  <c r="F249" i="41"/>
  <c r="H249" i="41" s="1"/>
  <c r="I249" i="41" s="1"/>
  <c r="J249" i="41" s="1"/>
  <c r="F250" i="41"/>
  <c r="H250" i="41" s="1"/>
  <c r="I250" i="41" s="1"/>
  <c r="J250" i="41" s="1"/>
  <c r="F251" i="41"/>
  <c r="H251" i="41" s="1"/>
  <c r="I251" i="41" s="1"/>
  <c r="J251" i="41" s="1"/>
  <c r="F252" i="41"/>
  <c r="H252" i="41" s="1"/>
  <c r="I252" i="41" s="1"/>
  <c r="J252" i="41" s="1"/>
  <c r="F253" i="41"/>
  <c r="H253" i="41" s="1"/>
  <c r="I253" i="41" s="1"/>
  <c r="J253" i="41" s="1"/>
  <c r="F254" i="41"/>
  <c r="H254" i="41" s="1"/>
  <c r="I254" i="41" s="1"/>
  <c r="J254" i="41" s="1"/>
  <c r="F255" i="41"/>
  <c r="H255" i="41" s="1"/>
  <c r="I255" i="41" s="1"/>
  <c r="J255" i="41" s="1"/>
  <c r="F256" i="41"/>
  <c r="H256" i="41" s="1"/>
  <c r="I256" i="41" s="1"/>
  <c r="J256" i="41" s="1"/>
  <c r="F257" i="41"/>
  <c r="H257" i="41" s="1"/>
  <c r="I257" i="41" s="1"/>
  <c r="J257" i="41" s="1"/>
  <c r="F258" i="41"/>
  <c r="H258" i="41" s="1"/>
  <c r="I258" i="41" s="1"/>
  <c r="J258" i="41" s="1"/>
  <c r="F259" i="41"/>
  <c r="H259" i="41" s="1"/>
  <c r="I259" i="41" s="1"/>
  <c r="J259" i="41" s="1"/>
  <c r="F261" i="41"/>
  <c r="H261" i="41" s="1"/>
  <c r="I261" i="41" s="1"/>
  <c r="J261" i="41" s="1"/>
  <c r="H262" i="41"/>
  <c r="I262" i="41" s="1"/>
  <c r="J262" i="41" s="1"/>
  <c r="F273" i="41"/>
  <c r="H273" i="41" s="1"/>
  <c r="I273" i="41" s="1"/>
  <c r="J273" i="41" s="1"/>
  <c r="F274" i="41"/>
  <c r="H274" i="41" s="1"/>
  <c r="I274" i="41" s="1"/>
  <c r="J274" i="41" s="1"/>
  <c r="F275" i="41"/>
  <c r="H275" i="41" s="1"/>
  <c r="I275" i="41" s="1"/>
  <c r="J275" i="41" s="1"/>
  <c r="F276" i="41"/>
  <c r="H276" i="41" s="1"/>
  <c r="I276" i="41" s="1"/>
  <c r="J276" i="41" s="1"/>
  <c r="F277" i="41"/>
  <c r="H277" i="41" s="1"/>
  <c r="I277" i="41" s="1"/>
  <c r="J277" i="41" s="1"/>
  <c r="F278" i="41"/>
  <c r="H278" i="41" s="1"/>
  <c r="I278" i="41" s="1"/>
  <c r="J278" i="41" s="1"/>
  <c r="F279" i="41"/>
  <c r="H279" i="41" s="1"/>
  <c r="I279" i="41" s="1"/>
  <c r="J279" i="41" s="1"/>
  <c r="F280" i="41"/>
  <c r="H280" i="41" s="1"/>
  <c r="I280" i="41" s="1"/>
  <c r="J280" i="41" s="1"/>
  <c r="F281" i="41"/>
  <c r="H281" i="41" s="1"/>
  <c r="I281" i="41" s="1"/>
  <c r="J281" i="41" s="1"/>
  <c r="F282" i="41"/>
  <c r="H282" i="41" s="1"/>
  <c r="F283" i="41"/>
  <c r="H283" i="41" s="1"/>
  <c r="I283" i="41" s="1"/>
  <c r="J283" i="41" s="1"/>
  <c r="F284" i="41"/>
  <c r="H284" i="41" s="1"/>
  <c r="I284" i="41" s="1"/>
  <c r="J284" i="41" s="1"/>
  <c r="F285" i="41"/>
  <c r="H285" i="41" s="1"/>
  <c r="I285" i="41" s="1"/>
  <c r="J285" i="41" s="1"/>
  <c r="F286" i="41"/>
  <c r="H286" i="41" s="1"/>
  <c r="I286" i="41" s="1"/>
  <c r="J286" i="41" s="1"/>
  <c r="F287" i="41"/>
  <c r="H287" i="41" s="1"/>
  <c r="I287" i="41" s="1"/>
  <c r="J287" i="41" s="1"/>
  <c r="F288" i="41"/>
  <c r="H288" i="41" s="1"/>
  <c r="I288" i="41" s="1"/>
  <c r="J288" i="41" s="1"/>
  <c r="F289" i="41"/>
  <c r="H289" i="41" s="1"/>
  <c r="I289" i="41" s="1"/>
  <c r="J289" i="41" s="1"/>
  <c r="F290" i="41"/>
  <c r="H290" i="41" s="1"/>
  <c r="I290" i="41" s="1"/>
  <c r="J290" i="41" s="1"/>
  <c r="F246" i="41"/>
  <c r="H246" i="41" s="1"/>
  <c r="I246" i="41" s="1"/>
  <c r="J246" i="41" s="1"/>
  <c r="F248" i="41"/>
  <c r="H248" i="41" s="1"/>
  <c r="I248" i="41" s="1"/>
  <c r="J248" i="41" s="1"/>
  <c r="F227" i="41"/>
  <c r="H227" i="41" s="1"/>
  <c r="I227" i="41" s="1"/>
  <c r="J227" i="41" s="1"/>
  <c r="F228" i="41"/>
  <c r="H228" i="41" s="1"/>
  <c r="I228" i="41" s="1"/>
  <c r="J228" i="41" s="1"/>
  <c r="F186" i="41"/>
  <c r="F187" i="41"/>
  <c r="H187" i="41" s="1"/>
  <c r="I187" i="41" s="1"/>
  <c r="J187" i="41" s="1"/>
  <c r="F188" i="41"/>
  <c r="H188" i="41" s="1"/>
  <c r="I188" i="41" s="1"/>
  <c r="J188" i="41" s="1"/>
  <c r="F189" i="41"/>
  <c r="H189" i="41" s="1"/>
  <c r="I189" i="41" s="1"/>
  <c r="J189" i="41" s="1"/>
  <c r="F190" i="41"/>
  <c r="H190" i="41" s="1"/>
  <c r="I190" i="41" s="1"/>
  <c r="J190" i="41" s="1"/>
  <c r="F191" i="41"/>
  <c r="H191" i="41" s="1"/>
  <c r="I191" i="41" s="1"/>
  <c r="J191" i="41" s="1"/>
  <c r="F198" i="41"/>
  <c r="H198" i="41" s="1"/>
  <c r="I198" i="41" s="1"/>
  <c r="J198" i="41" s="1"/>
  <c r="F199" i="41"/>
  <c r="H199" i="41" s="1"/>
  <c r="I199" i="41" s="1"/>
  <c r="J199" i="41" s="1"/>
  <c r="F200" i="41"/>
  <c r="H200" i="41" s="1"/>
  <c r="I200" i="41" s="1"/>
  <c r="J200" i="41" s="1"/>
  <c r="F201" i="41"/>
  <c r="H201" i="41" s="1"/>
  <c r="I201" i="41" s="1"/>
  <c r="J201" i="41" s="1"/>
  <c r="F202" i="41"/>
  <c r="H202" i="41" s="1"/>
  <c r="I202" i="41" s="1"/>
  <c r="J202" i="41" s="1"/>
  <c r="F203" i="41"/>
  <c r="H203" i="41" s="1"/>
  <c r="I203" i="41" s="1"/>
  <c r="J203" i="41" s="1"/>
  <c r="F204" i="41"/>
  <c r="H204" i="41" s="1"/>
  <c r="I204" i="41" s="1"/>
  <c r="J204" i="41" s="1"/>
  <c r="F205" i="41"/>
  <c r="H205" i="41" s="1"/>
  <c r="I205" i="41" s="1"/>
  <c r="J205" i="41" s="1"/>
  <c r="F208" i="41"/>
  <c r="H208" i="41" s="1"/>
  <c r="I208" i="41" s="1"/>
  <c r="J208" i="41" s="1"/>
  <c r="F209" i="41"/>
  <c r="H209" i="41" s="1"/>
  <c r="I209" i="41" s="1"/>
  <c r="J209" i="41" s="1"/>
  <c r="F210" i="41"/>
  <c r="H210" i="41" s="1"/>
  <c r="I210" i="41" s="1"/>
  <c r="J210" i="41" s="1"/>
  <c r="F211" i="41"/>
  <c r="H211" i="41" s="1"/>
  <c r="I211" i="41" s="1"/>
  <c r="J211" i="41" s="1"/>
  <c r="F212" i="41"/>
  <c r="H212" i="41" s="1"/>
  <c r="I212" i="41" s="1"/>
  <c r="J212" i="41" s="1"/>
  <c r="F213" i="41"/>
  <c r="H213" i="41" s="1"/>
  <c r="I213" i="41" s="1"/>
  <c r="J213" i="41" s="1"/>
  <c r="F214" i="41"/>
  <c r="H214" i="41" s="1"/>
  <c r="I214" i="41" s="1"/>
  <c r="J214" i="41" s="1"/>
  <c r="F215" i="41"/>
  <c r="H215" i="41" s="1"/>
  <c r="I215" i="41" s="1"/>
  <c r="J215" i="41" s="1"/>
  <c r="F216" i="41"/>
  <c r="H216" i="41" s="1"/>
  <c r="I216" i="41" s="1"/>
  <c r="J216" i="41" s="1"/>
  <c r="F218" i="41"/>
  <c r="H218" i="41" s="1"/>
  <c r="I218" i="41" s="1"/>
  <c r="J218" i="41" s="1"/>
  <c r="F220" i="41"/>
  <c r="H220" i="41" s="1"/>
  <c r="I220" i="41" s="1"/>
  <c r="J220" i="41" s="1"/>
  <c r="F221" i="41"/>
  <c r="H221" i="41" s="1"/>
  <c r="I221" i="41" s="1"/>
  <c r="J221" i="41" s="1"/>
  <c r="D186" i="41"/>
  <c r="D187" i="41"/>
  <c r="D188" i="41"/>
  <c r="D189" i="41"/>
  <c r="D190" i="41"/>
  <c r="D191" i="41"/>
  <c r="D198" i="41"/>
  <c r="D199" i="41"/>
  <c r="D200" i="41"/>
  <c r="D201" i="41"/>
  <c r="D202" i="41"/>
  <c r="D203" i="41"/>
  <c r="D204" i="41"/>
  <c r="D205" i="41"/>
  <c r="D208" i="41"/>
  <c r="D209" i="41"/>
  <c r="D210" i="41"/>
  <c r="D211" i="41"/>
  <c r="D212" i="41"/>
  <c r="D213" i="41"/>
  <c r="D214" i="41"/>
  <c r="D215" i="41"/>
  <c r="D216" i="41"/>
  <c r="D218" i="41"/>
  <c r="D220" i="41"/>
  <c r="D221" i="41"/>
  <c r="D217" i="41"/>
  <c r="F217" i="41"/>
  <c r="H217" i="41" s="1"/>
  <c r="I217" i="41" s="1"/>
  <c r="J217" i="41" s="1"/>
  <c r="F185" i="41"/>
  <c r="D185" i="41"/>
  <c r="F165" i="41"/>
  <c r="H165" i="41" s="1"/>
  <c r="I165" i="41" s="1"/>
  <c r="J165" i="41" s="1"/>
  <c r="D165" i="41"/>
  <c r="D164" i="41"/>
  <c r="F164" i="41"/>
  <c r="H164" i="41" s="1"/>
  <c r="I164" i="41" s="1"/>
  <c r="J164" i="41" s="1"/>
  <c r="D163" i="41"/>
  <c r="F163" i="41"/>
  <c r="H163" i="41" s="1"/>
  <c r="I163" i="41" s="1"/>
  <c r="J163" i="41" s="1"/>
  <c r="D162" i="41"/>
  <c r="F162" i="41"/>
  <c r="H162" i="41" s="1"/>
  <c r="I162" i="41" s="1"/>
  <c r="J162" i="41" s="1"/>
  <c r="D150" i="41"/>
  <c r="F150" i="41"/>
  <c r="H150" i="41" s="1"/>
  <c r="I150" i="41" s="1"/>
  <c r="J150" i="41" s="1"/>
  <c r="D137" i="41"/>
  <c r="F137" i="41"/>
  <c r="H137" i="41" s="1"/>
  <c r="I137" i="41" s="1"/>
  <c r="J137" i="41" s="1"/>
  <c r="D136" i="41"/>
  <c r="F136" i="41"/>
  <c r="H136" i="41" s="1"/>
  <c r="I136" i="41" s="1"/>
  <c r="J136" i="41" s="1"/>
  <c r="D135" i="41"/>
  <c r="F135" i="41"/>
  <c r="H135" i="41" s="1"/>
  <c r="I135" i="41" s="1"/>
  <c r="J135" i="41" s="1"/>
  <c r="D134" i="41"/>
  <c r="F134" i="41"/>
  <c r="H134" i="41" s="1"/>
  <c r="I134" i="41" s="1"/>
  <c r="J134" i="41" s="1"/>
  <c r="F114" i="41"/>
  <c r="H114" i="41" s="1"/>
  <c r="I114" i="41" s="1"/>
  <c r="J114" i="41" s="1"/>
  <c r="D114" i="41"/>
  <c r="F113" i="41"/>
  <c r="H113" i="41" s="1"/>
  <c r="I113" i="41" s="1"/>
  <c r="J113" i="41" s="1"/>
  <c r="D113" i="41"/>
  <c r="F71" i="41"/>
  <c r="H71" i="41" s="1"/>
  <c r="I71" i="41" s="1"/>
  <c r="J71" i="41" s="1"/>
  <c r="D71" i="41"/>
  <c r="F53" i="41"/>
  <c r="H53" i="41" s="1"/>
  <c r="I53" i="41" s="1"/>
  <c r="J53" i="41" s="1"/>
  <c r="F54" i="41"/>
  <c r="H54" i="41" s="1"/>
  <c r="I54" i="41" s="1"/>
  <c r="J54" i="41" s="1"/>
  <c r="F55" i="41"/>
  <c r="H55" i="41" s="1"/>
  <c r="I55" i="41" s="1"/>
  <c r="J55" i="41" s="1"/>
  <c r="F56" i="41"/>
  <c r="H56" i="41" s="1"/>
  <c r="I56" i="41" s="1"/>
  <c r="J56" i="41" s="1"/>
  <c r="F57" i="41"/>
  <c r="H57" i="41" s="1"/>
  <c r="I57" i="41" s="1"/>
  <c r="J57" i="41" s="1"/>
  <c r="F58" i="41"/>
  <c r="H58" i="41" s="1"/>
  <c r="I58" i="41" s="1"/>
  <c r="J58" i="41" s="1"/>
  <c r="F59" i="41"/>
  <c r="H59" i="41" s="1"/>
  <c r="I59" i="41" s="1"/>
  <c r="J59" i="41" s="1"/>
  <c r="F60" i="41"/>
  <c r="H60" i="41" s="1"/>
  <c r="I60" i="41" s="1"/>
  <c r="J60" i="41" s="1"/>
  <c r="F61" i="41"/>
  <c r="H61" i="41" s="1"/>
  <c r="I61" i="41" s="1"/>
  <c r="J61" i="41" s="1"/>
  <c r="F62" i="41"/>
  <c r="H62" i="41" s="1"/>
  <c r="I62" i="41" s="1"/>
  <c r="J62" i="41" s="1"/>
  <c r="D53" i="41"/>
  <c r="D54" i="41"/>
  <c r="D55" i="41"/>
  <c r="D56" i="41"/>
  <c r="D57" i="41"/>
  <c r="D58" i="41"/>
  <c r="D59" i="41"/>
  <c r="D60" i="41"/>
  <c r="D61" i="41"/>
  <c r="D62" i="41"/>
  <c r="D52" i="41"/>
  <c r="F52" i="41"/>
  <c r="H52" i="41" s="1"/>
  <c r="I52" i="41" s="1"/>
  <c r="J52" i="41" s="1"/>
  <c r="F49" i="41"/>
  <c r="H49" i="41" s="1"/>
  <c r="I49" i="41" s="1"/>
  <c r="J49" i="41" s="1"/>
  <c r="F48" i="41"/>
  <c r="H48" i="41" s="1"/>
  <c r="I48" i="41" s="1"/>
  <c r="J48" i="41" s="1"/>
  <c r="D49" i="41"/>
  <c r="D48" i="41"/>
  <c r="D47" i="41"/>
  <c r="F47" i="41"/>
  <c r="H47" i="41" s="1"/>
  <c r="I47" i="41" s="1"/>
  <c r="J47" i="41" s="1"/>
  <c r="F41" i="41"/>
  <c r="H41" i="41" s="1"/>
  <c r="I41" i="41" s="1"/>
  <c r="J41" i="41" s="1"/>
  <c r="F38" i="41"/>
  <c r="H38" i="41" s="1"/>
  <c r="I38" i="41" s="1"/>
  <c r="J38" i="41" s="1"/>
  <c r="F37" i="41"/>
  <c r="H37" i="41" s="1"/>
  <c r="I37" i="41" s="1"/>
  <c r="J37" i="41" s="1"/>
  <c r="D42" i="41"/>
  <c r="F42" i="41"/>
  <c r="H42" i="41" s="1"/>
  <c r="I42" i="41" s="1"/>
  <c r="J42" i="41" s="1"/>
  <c r="D41" i="41"/>
  <c r="D40" i="41"/>
  <c r="F40" i="41"/>
  <c r="D39" i="41"/>
  <c r="F39" i="41"/>
  <c r="H39" i="41" s="1"/>
  <c r="I39" i="41" s="1"/>
  <c r="J39" i="41" s="1"/>
  <c r="D38" i="41"/>
  <c r="D37" i="41"/>
  <c r="D36" i="41"/>
  <c r="F36" i="41"/>
  <c r="H36" i="41" s="1"/>
  <c r="I36" i="41" s="1"/>
  <c r="J36" i="41" s="1"/>
  <c r="D35" i="41"/>
  <c r="F35" i="41"/>
  <c r="H35" i="41" s="1"/>
  <c r="I35" i="41" s="1"/>
  <c r="J35" i="41" s="1"/>
  <c r="D34" i="41"/>
  <c r="F34" i="41"/>
  <c r="H34" i="41" s="1"/>
  <c r="I34" i="41" s="1"/>
  <c r="J34" i="41" s="1"/>
  <c r="D31" i="41"/>
  <c r="F31" i="41"/>
  <c r="H31" i="41" s="1"/>
  <c r="I31" i="41" s="1"/>
  <c r="J31" i="41" s="1"/>
  <c r="D24" i="41"/>
  <c r="F24" i="41"/>
  <c r="H24" i="41" s="1"/>
  <c r="I24" i="41" s="1"/>
  <c r="J24" i="41" s="1"/>
  <c r="D23" i="41"/>
  <c r="F23" i="41"/>
  <c r="H23" i="41" s="1"/>
  <c r="I23" i="41" s="1"/>
  <c r="J23" i="41" s="1"/>
  <c r="D22" i="41"/>
  <c r="F22" i="41"/>
  <c r="H22" i="41" s="1"/>
  <c r="I22" i="41" s="1"/>
  <c r="J22" i="41" s="1"/>
  <c r="D21" i="41"/>
  <c r="F21" i="41"/>
  <c r="H21" i="41" s="1"/>
  <c r="I21" i="41" s="1"/>
  <c r="J21" i="41" s="1"/>
  <c r="D20" i="41"/>
  <c r="F20" i="41"/>
  <c r="H20" i="41" s="1"/>
  <c r="I20" i="41" s="1"/>
  <c r="J20" i="41" s="1"/>
  <c r="D19" i="41"/>
  <c r="F19" i="41"/>
  <c r="H19" i="41" s="1"/>
  <c r="I19" i="41" s="1"/>
  <c r="J19" i="41" s="1"/>
  <c r="D18" i="41"/>
  <c r="F18" i="41"/>
  <c r="H18" i="41" s="1"/>
  <c r="I18" i="41" s="1"/>
  <c r="J18" i="41" s="1"/>
  <c r="D17" i="41"/>
  <c r="F17" i="41"/>
  <c r="H17" i="41" s="1"/>
  <c r="I17" i="41" s="1"/>
  <c r="J17" i="41" s="1"/>
  <c r="F260" i="41"/>
  <c r="H260" i="41" s="1"/>
  <c r="I260" i="41" s="1"/>
  <c r="J260" i="41" s="1"/>
  <c r="F69" i="41"/>
  <c r="H69" i="41" s="1"/>
  <c r="I69" i="41" s="1"/>
  <c r="J69" i="41" s="1"/>
  <c r="D70" i="41"/>
  <c r="F70" i="41"/>
  <c r="H70" i="41" s="1"/>
  <c r="I70" i="41" s="1"/>
  <c r="J70" i="41" s="1"/>
  <c r="D69" i="41"/>
  <c r="D146" i="41"/>
  <c r="F146" i="41"/>
  <c r="H146" i="41" s="1"/>
  <c r="I146" i="41" s="1"/>
  <c r="J146" i="41" s="1"/>
  <c r="D144" i="41"/>
  <c r="F144" i="41"/>
  <c r="H144" i="41" s="1"/>
  <c r="I144" i="41" s="1"/>
  <c r="J144" i="41" s="1"/>
  <c r="F147" i="41"/>
  <c r="H147" i="41" s="1"/>
  <c r="I147" i="41" s="1"/>
  <c r="J147" i="41" s="1"/>
  <c r="D149" i="41"/>
  <c r="F149" i="41"/>
  <c r="H149" i="41" s="1"/>
  <c r="I149" i="41" s="1"/>
  <c r="J149" i="41" s="1"/>
  <c r="D148" i="41"/>
  <c r="F148" i="41"/>
  <c r="H148" i="41" s="1"/>
  <c r="I148" i="41" s="1"/>
  <c r="J148" i="41" s="1"/>
  <c r="D147" i="41"/>
  <c r="D145" i="41"/>
  <c r="F145" i="41"/>
  <c r="H145" i="41" s="1"/>
  <c r="I145" i="41" s="1"/>
  <c r="J145" i="41" s="1"/>
  <c r="F30" i="41"/>
  <c r="H30" i="41" s="1"/>
  <c r="I30" i="41" s="1"/>
  <c r="J30" i="41" s="1"/>
  <c r="D30" i="41"/>
  <c r="F143" i="41"/>
  <c r="H143" i="41" s="1"/>
  <c r="I143" i="41" s="1"/>
  <c r="J143" i="41" s="1"/>
  <c r="F141" i="41"/>
  <c r="H141" i="41" s="1"/>
  <c r="I141" i="41" s="1"/>
  <c r="J141" i="41" s="1"/>
  <c r="D143" i="41"/>
  <c r="D142" i="41"/>
  <c r="F142" i="41"/>
  <c r="H142" i="41" s="1"/>
  <c r="I142" i="41" s="1"/>
  <c r="J142" i="41" s="1"/>
  <c r="D141" i="41"/>
  <c r="D140" i="41"/>
  <c r="F140" i="41"/>
  <c r="H140" i="41" s="1"/>
  <c r="I140" i="41" s="1"/>
  <c r="J140" i="41" s="1"/>
  <c r="D68" i="41"/>
  <c r="F68" i="41"/>
  <c r="H68" i="41" s="1"/>
  <c r="I68" i="41" s="1"/>
  <c r="J68" i="41" s="1"/>
  <c r="D67" i="41"/>
  <c r="F67" i="41"/>
  <c r="H67" i="41" s="1"/>
  <c r="I67" i="41" s="1"/>
  <c r="J67" i="41" s="1"/>
  <c r="D66" i="41"/>
  <c r="F66" i="41"/>
  <c r="H66" i="41" s="1"/>
  <c r="I66" i="41" s="1"/>
  <c r="J66" i="41" s="1"/>
  <c r="D89" i="41"/>
  <c r="F89" i="41"/>
  <c r="H89" i="41" s="1"/>
  <c r="I89" i="41" s="1"/>
  <c r="J89" i="41" s="1"/>
  <c r="D88" i="41"/>
  <c r="F88" i="41"/>
  <c r="H88" i="41" s="1"/>
  <c r="I88" i="41" s="1"/>
  <c r="J88" i="41" s="1"/>
  <c r="F90" i="41"/>
  <c r="H90" i="41" s="1"/>
  <c r="I90" i="41" s="1"/>
  <c r="J90" i="41" s="1"/>
  <c r="H65" i="41"/>
  <c r="I65" i="41" s="1"/>
  <c r="J65" i="41" s="1"/>
  <c r="D90" i="41"/>
  <c r="F63" i="41"/>
  <c r="H63" i="41" s="1"/>
  <c r="I63" i="41" s="1"/>
  <c r="J63" i="41" s="1"/>
  <c r="F64" i="41"/>
  <c r="H64" i="41" s="1"/>
  <c r="I64" i="41" s="1"/>
  <c r="J64" i="41" s="1"/>
  <c r="D65" i="41"/>
  <c r="F133" i="41"/>
  <c r="H133" i="41" s="1"/>
  <c r="I133" i="41" s="1"/>
  <c r="J133" i="41" s="1"/>
  <c r="D64" i="41"/>
  <c r="D63" i="41"/>
  <c r="D133" i="41"/>
  <c r="F131" i="41"/>
  <c r="H131" i="41" s="1"/>
  <c r="I131" i="41" s="1"/>
  <c r="J131" i="41" s="1"/>
  <c r="D131" i="41"/>
  <c r="D103" i="41"/>
  <c r="F11" i="41"/>
  <c r="H11" i="41" s="1"/>
  <c r="I11" i="41" s="1"/>
  <c r="J11" i="41" s="1"/>
  <c r="F132" i="41"/>
  <c r="H132" i="41" s="1"/>
  <c r="I132" i="41" s="1"/>
  <c r="J132" i="41" s="1"/>
  <c r="F4" i="41"/>
  <c r="F5" i="41"/>
  <c r="H5" i="41" s="1"/>
  <c r="I5" i="41" s="1"/>
  <c r="J5" i="41" s="1"/>
  <c r="D132" i="41"/>
  <c r="F12" i="41"/>
  <c r="H12" i="41" s="1"/>
  <c r="I12" i="41" s="1"/>
  <c r="J12" i="41" s="1"/>
  <c r="D130" i="41"/>
  <c r="F130" i="41"/>
  <c r="H130" i="41" s="1"/>
  <c r="I130" i="41" s="1"/>
  <c r="J130" i="41" s="1"/>
  <c r="D129" i="41"/>
  <c r="F129" i="41"/>
  <c r="H129" i="41" s="1"/>
  <c r="I129" i="41" s="1"/>
  <c r="J129" i="41" s="1"/>
  <c r="F226" i="41"/>
  <c r="F7" i="41"/>
  <c r="H7" i="41" s="1"/>
  <c r="I7" i="41" s="1"/>
  <c r="J7" i="41" s="1"/>
  <c r="F127" i="41"/>
  <c r="H127" i="41" s="1"/>
  <c r="I127" i="41" s="1"/>
  <c r="J127" i="41" s="1"/>
  <c r="F128" i="41"/>
  <c r="H128" i="41" s="1"/>
  <c r="I128" i="41" s="1"/>
  <c r="J128" i="41" s="1"/>
  <c r="D29" i="41"/>
  <c r="F6" i="41"/>
  <c r="H6" i="41" s="1"/>
  <c r="I6" i="41" s="1"/>
  <c r="J6" i="41" s="1"/>
  <c r="D128" i="41"/>
  <c r="D127" i="41"/>
  <c r="F8" i="41"/>
  <c r="H8" i="41" s="1"/>
  <c r="I8" i="41" s="1"/>
  <c r="J8" i="41" s="1"/>
  <c r="F13" i="41"/>
  <c r="H13" i="41" s="1"/>
  <c r="I13" i="41" s="1"/>
  <c r="J13" i="41" s="1"/>
  <c r="F28" i="41"/>
  <c r="H28" i="41" s="1"/>
  <c r="I28" i="41" s="1"/>
  <c r="J28" i="41" s="1"/>
  <c r="F29" i="41"/>
  <c r="H29" i="41" s="1"/>
  <c r="I29" i="41" s="1"/>
  <c r="J29" i="41" s="1"/>
  <c r="D28" i="41"/>
  <c r="D6" i="41"/>
  <c r="D5" i="41"/>
  <c r="D4" i="41"/>
  <c r="D7" i="41"/>
  <c r="D10" i="41"/>
  <c r="F10" i="41"/>
  <c r="H10" i="41" s="1"/>
  <c r="I10" i="41" s="1"/>
  <c r="J10" i="41" s="1"/>
  <c r="D13" i="41"/>
  <c r="D12" i="41"/>
  <c r="D11" i="41"/>
  <c r="F9" i="41"/>
  <c r="H9" i="41" s="1"/>
  <c r="I9" i="41" s="1"/>
  <c r="J9" i="41" s="1"/>
  <c r="D9" i="41"/>
  <c r="D8" i="41"/>
  <c r="F103" i="41"/>
  <c r="H103" i="41" s="1"/>
  <c r="I103" i="41" s="1"/>
  <c r="J103" i="41" s="1"/>
  <c r="D112" i="41"/>
  <c r="F112" i="41"/>
  <c r="H112" i="41" s="1"/>
  <c r="I112" i="41" s="1"/>
  <c r="J112" i="41" s="1"/>
  <c r="F160" i="41"/>
  <c r="H160" i="41" s="1"/>
  <c r="I160" i="41" s="1"/>
  <c r="J160" i="41" s="1"/>
  <c r="D160" i="41"/>
  <c r="D117" i="41"/>
  <c r="F117" i="41"/>
  <c r="H117" i="41" s="1"/>
  <c r="I117" i="41" s="1"/>
  <c r="J117" i="41" s="1"/>
  <c r="D98" i="41"/>
  <c r="F98" i="41"/>
  <c r="H98" i="41" s="1"/>
  <c r="I98" i="41" s="1"/>
  <c r="J98" i="41" s="1"/>
  <c r="D14" i="41"/>
  <c r="D15" i="41"/>
  <c r="D111" i="41"/>
  <c r="F111" i="41"/>
  <c r="F116" i="41"/>
  <c r="H116" i="41" s="1"/>
  <c r="I116" i="41" s="1"/>
  <c r="J116" i="41" s="1"/>
  <c r="D116" i="41"/>
  <c r="L222" i="41"/>
  <c r="F159" i="41"/>
  <c r="H159" i="41" s="1"/>
  <c r="I159" i="41" s="1"/>
  <c r="J159" i="41" s="1"/>
  <c r="F121" i="41"/>
  <c r="H121" i="41" s="1"/>
  <c r="I121" i="41" s="1"/>
  <c r="J121" i="41" s="1"/>
  <c r="D121" i="41"/>
  <c r="F139" i="41"/>
  <c r="H139" i="41" s="1"/>
  <c r="I139" i="41" s="1"/>
  <c r="J139" i="41" s="1"/>
  <c r="D139" i="41"/>
  <c r="F16" i="41"/>
  <c r="H16" i="41" s="1"/>
  <c r="I16" i="41" s="1"/>
  <c r="J16" i="41" s="1"/>
  <c r="D16" i="41"/>
  <c r="F174" i="41"/>
  <c r="H174" i="41" s="1"/>
  <c r="I174" i="41" s="1"/>
  <c r="J174" i="41" s="1"/>
  <c r="F172" i="41"/>
  <c r="H172" i="41" s="1"/>
  <c r="I172" i="41" s="1"/>
  <c r="J172" i="41" s="1"/>
  <c r="F171" i="41"/>
  <c r="H171" i="41" s="1"/>
  <c r="I171" i="41" s="1"/>
  <c r="J171" i="41" s="1"/>
  <c r="F175" i="41"/>
  <c r="H175" i="41" s="1"/>
  <c r="I175" i="41" s="1"/>
  <c r="J175" i="41" s="1"/>
  <c r="F176" i="41"/>
  <c r="H176" i="41" s="1"/>
  <c r="I176" i="41" s="1"/>
  <c r="J176" i="41" s="1"/>
  <c r="F173" i="41"/>
  <c r="H173" i="41" s="1"/>
  <c r="I173" i="41" s="1"/>
  <c r="J173" i="41" s="1"/>
  <c r="F177" i="41"/>
  <c r="H177" i="41" s="1"/>
  <c r="I177" i="41" s="1"/>
  <c r="J177" i="41" s="1"/>
  <c r="F153" i="41"/>
  <c r="H153" i="41" s="1"/>
  <c r="I153" i="41" s="1"/>
  <c r="J153" i="41" s="1"/>
  <c r="F152" i="41"/>
  <c r="H152" i="41" s="1"/>
  <c r="I152" i="41" s="1"/>
  <c r="J152" i="41" s="1"/>
  <c r="D171" i="41"/>
  <c r="D172" i="41"/>
  <c r="D174" i="41"/>
  <c r="D173" i="41"/>
  <c r="D177" i="41"/>
  <c r="D176" i="41"/>
  <c r="D175" i="41"/>
  <c r="F158" i="41"/>
  <c r="H158" i="41" s="1"/>
  <c r="I158" i="41" s="1"/>
  <c r="J158" i="41" s="1"/>
  <c r="D156" i="41"/>
  <c r="F156" i="41"/>
  <c r="H156" i="41" s="1"/>
  <c r="I156" i="41" s="1"/>
  <c r="J156" i="41" s="1"/>
  <c r="D159" i="41"/>
  <c r="D158" i="41"/>
  <c r="D153" i="41"/>
  <c r="D152" i="41"/>
  <c r="D154" i="41"/>
  <c r="F154" i="41"/>
  <c r="H154" i="41" s="1"/>
  <c r="I154" i="41" s="1"/>
  <c r="J154" i="41" s="1"/>
  <c r="D157" i="41"/>
  <c r="F157" i="41"/>
  <c r="H157" i="41" s="1"/>
  <c r="I157" i="41" s="1"/>
  <c r="J157" i="41" s="1"/>
  <c r="D155" i="41"/>
  <c r="F155" i="41"/>
  <c r="H155" i="41" s="1"/>
  <c r="I155" i="41" s="1"/>
  <c r="J155" i="41" s="1"/>
  <c r="D105" i="41"/>
  <c r="F105" i="41"/>
  <c r="H105" i="41" s="1"/>
  <c r="I105" i="41" s="1"/>
  <c r="J105" i="41" s="1"/>
  <c r="D151" i="41"/>
  <c r="F151" i="41"/>
  <c r="H151" i="41" s="1"/>
  <c r="I151" i="41" s="1"/>
  <c r="J151" i="41" s="1"/>
  <c r="D104" i="41"/>
  <c r="D106" i="41"/>
  <c r="F104" i="41"/>
  <c r="H104" i="41" s="1"/>
  <c r="I104" i="41" s="1"/>
  <c r="J104" i="41" s="1"/>
  <c r="F106" i="41"/>
  <c r="H106" i="41" s="1"/>
  <c r="I106" i="41" s="1"/>
  <c r="J106" i="41" s="1"/>
  <c r="D102" i="41"/>
  <c r="F102" i="41"/>
  <c r="H102" i="41" s="1"/>
  <c r="I102" i="41" s="1"/>
  <c r="J102" i="41" s="1"/>
  <c r="F97" i="41"/>
  <c r="H97" i="41" s="1"/>
  <c r="I97" i="41" s="1"/>
  <c r="J97" i="41" s="1"/>
  <c r="D97" i="41"/>
  <c r="D95" i="41"/>
  <c r="F95" i="41"/>
  <c r="H95" i="41" s="1"/>
  <c r="I95" i="41" s="1"/>
  <c r="J95" i="41" s="1"/>
  <c r="D115" i="41"/>
  <c r="D118" i="41"/>
  <c r="D119" i="41"/>
  <c r="D120" i="41"/>
  <c r="D123" i="41"/>
  <c r="D124" i="41"/>
  <c r="D125" i="41"/>
  <c r="D126" i="41"/>
  <c r="D138" i="41"/>
  <c r="D168" i="41"/>
  <c r="D180" i="41"/>
  <c r="D93" i="41"/>
  <c r="D94" i="41"/>
  <c r="D96" i="41"/>
  <c r="F124" i="41"/>
  <c r="H124" i="41" s="1"/>
  <c r="I124" i="41" s="1"/>
  <c r="J124" i="41" s="1"/>
  <c r="F123" i="41"/>
  <c r="H123" i="41" s="1"/>
  <c r="I123" i="41" s="1"/>
  <c r="J123" i="41" s="1"/>
  <c r="F126" i="41"/>
  <c r="H126" i="41" s="1"/>
  <c r="I126" i="41" s="1"/>
  <c r="J126" i="41" s="1"/>
  <c r="F125" i="41"/>
  <c r="H125" i="41" s="1"/>
  <c r="I125" i="41" s="1"/>
  <c r="J125" i="41" s="1"/>
  <c r="F94" i="41"/>
  <c r="H94" i="41" s="1"/>
  <c r="I94" i="41" s="1"/>
  <c r="J94" i="41" s="1"/>
  <c r="F93" i="41"/>
  <c r="H93" i="41" s="1"/>
  <c r="I93" i="41" s="1"/>
  <c r="J93" i="41" s="1"/>
  <c r="F96" i="41"/>
  <c r="H96" i="41" s="1"/>
  <c r="I96" i="41" s="1"/>
  <c r="J96" i="41" s="1"/>
  <c r="F138" i="41"/>
  <c r="H138" i="41" s="1"/>
  <c r="I138" i="41" s="1"/>
  <c r="J138" i="41" s="1"/>
  <c r="F118" i="41"/>
  <c r="H118" i="41" s="1"/>
  <c r="I118" i="41" s="1"/>
  <c r="J118" i="41" s="1"/>
  <c r="F180" i="41"/>
  <c r="H180" i="41" s="1"/>
  <c r="I180" i="41" s="1"/>
  <c r="J180" i="41" s="1"/>
  <c r="F119" i="41"/>
  <c r="H119" i="41" s="1"/>
  <c r="I119" i="41" s="1"/>
  <c r="J119" i="41" s="1"/>
  <c r="F120" i="41"/>
  <c r="H120" i="41" s="1"/>
  <c r="I120" i="41" s="1"/>
  <c r="J120" i="41" s="1"/>
  <c r="F168" i="41"/>
  <c r="H168" i="41" s="1"/>
  <c r="I168" i="41" s="1"/>
  <c r="J168" i="41" s="1"/>
  <c r="F115" i="41"/>
  <c r="H115" i="41" s="1"/>
  <c r="F15" i="41"/>
  <c r="H15" i="41" s="1"/>
  <c r="F14" i="41"/>
  <c r="H14" i="41" s="1"/>
  <c r="L14" i="41" s="1"/>
  <c r="C107" i="41"/>
  <c r="C110" i="41" s="1"/>
  <c r="E107" i="41"/>
  <c r="E110" i="41" s="1"/>
  <c r="E181" i="41" s="1"/>
  <c r="E184" i="41" s="1"/>
  <c r="G107" i="41"/>
  <c r="G110" i="41" s="1"/>
  <c r="G181" i="41" s="1"/>
  <c r="G184" i="41" s="1"/>
  <c r="G222" i="41" s="1"/>
  <c r="G225" i="41" s="1"/>
  <c r="G291" i="41" s="1"/>
  <c r="G293" i="41" s="1"/>
  <c r="H40" i="41" l="1"/>
  <c r="I40" i="41" s="1"/>
  <c r="J40" i="41" s="1"/>
  <c r="H186" i="41"/>
  <c r="I186" i="41" s="1"/>
  <c r="J186" i="41" s="1"/>
  <c r="H226" i="41"/>
  <c r="I226" i="41" s="1"/>
  <c r="J226" i="41" s="1"/>
  <c r="H111" i="41"/>
  <c r="I111" i="41" s="1"/>
  <c r="J111" i="41" s="1"/>
  <c r="H185" i="41"/>
  <c r="I185" i="41" s="1"/>
  <c r="J185" i="41" s="1"/>
  <c r="E222" i="41"/>
  <c r="E225" i="41" s="1"/>
  <c r="E291" i="41" s="1"/>
  <c r="E293" i="41" s="1"/>
  <c r="H4" i="41"/>
  <c r="I4" i="41" s="1"/>
  <c r="J4" i="41" s="1"/>
  <c r="I282" i="41"/>
  <c r="J282" i="41" s="1"/>
  <c r="L282" i="41"/>
  <c r="L291" i="41" s="1"/>
  <c r="F107" i="41"/>
  <c r="I14" i="41"/>
  <c r="J14" i="41" s="1"/>
  <c r="L115" i="41"/>
  <c r="I115" i="41"/>
  <c r="J115" i="41" s="1"/>
  <c r="I15" i="41"/>
  <c r="J15" i="41" s="1"/>
  <c r="L15" i="41"/>
  <c r="L107" i="41" s="1"/>
  <c r="D110" i="41"/>
  <c r="D181" i="41" s="1"/>
  <c r="C181" i="41"/>
  <c r="C184" i="41" s="1"/>
  <c r="L168" i="41"/>
  <c r="D107" i="41"/>
  <c r="I107" i="41" l="1"/>
  <c r="I110" i="41" s="1"/>
  <c r="I181" i="41" s="1"/>
  <c r="I184" i="41" s="1"/>
  <c r="I222" i="41" s="1"/>
  <c r="I225" i="41" s="1"/>
  <c r="I291" i="41" s="1"/>
  <c r="L181" i="41"/>
  <c r="D184" i="41"/>
  <c r="D222" i="41" s="1"/>
  <c r="C222" i="41"/>
  <c r="C225" i="41" s="1"/>
  <c r="F110" i="41"/>
  <c r="F181" i="41" s="1"/>
  <c r="F184" i="41" s="1"/>
  <c r="F222" i="41" s="1"/>
  <c r="F225" i="41" s="1"/>
  <c r="F291" i="41" s="1"/>
  <c r="F295" i="41" s="1"/>
  <c r="H107" i="41"/>
  <c r="H110" i="41" s="1"/>
  <c r="H181" i="41" s="1"/>
  <c r="H184" i="41" s="1"/>
  <c r="H222" i="41" s="1"/>
  <c r="H225" i="41" s="1"/>
  <c r="H291" i="41" s="1"/>
  <c r="H295" i="41" s="1"/>
  <c r="D225" i="41" l="1"/>
  <c r="D291" i="41" s="1"/>
  <c r="C291" i="41"/>
  <c r="C295" i="41" s="1"/>
</calcChain>
</file>

<file path=xl/sharedStrings.xml><?xml version="1.0" encoding="utf-8"?>
<sst xmlns="http://schemas.openxmlformats.org/spreadsheetml/2006/main" count="401" uniqueCount="334">
  <si>
    <t>SL</t>
  </si>
  <si>
    <t>Total=</t>
  </si>
  <si>
    <t>Remark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</si>
  <si>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</si>
  <si>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Article No :</t>
  </si>
  <si>
    <t>Total CTN :</t>
  </si>
  <si>
    <t xml:space="preserve"> Stock Pair</t>
  </si>
  <si>
    <t>Total Stock Pair</t>
  </si>
  <si>
    <t>Total Stock CTN :</t>
  </si>
  <si>
    <t>Finishing goods Stock  Pair</t>
  </si>
  <si>
    <t>Previous Page</t>
  </si>
  <si>
    <t>Prepared By</t>
  </si>
  <si>
    <t xml:space="preserve">Todays Delivery Pair </t>
  </si>
  <si>
    <t>Remark's</t>
  </si>
  <si>
    <t>Today's Received Pair</t>
  </si>
  <si>
    <t>Stock-Incharge</t>
  </si>
  <si>
    <t>Factory Manager</t>
  </si>
  <si>
    <t>Stock Detail's of P.U  ( Gents 01 Ctn: 24 Pair )</t>
  </si>
  <si>
    <t>Stock Detail's of P.U  ( Ladies 01 Ctn : 24 Pair )</t>
  </si>
  <si>
    <t>Stock Detail's of P.U  ( Children- Gents 01 Ctn: 24 Pair )</t>
  </si>
  <si>
    <t>Stock Detail's of P.U  ( Children-Ladies 01 Ctn : 24 Pair )</t>
  </si>
  <si>
    <t>561-1107</t>
  </si>
  <si>
    <t>861-04</t>
  </si>
  <si>
    <t>861-24</t>
  </si>
  <si>
    <t>861-1078</t>
  </si>
  <si>
    <t>861-1092</t>
  </si>
  <si>
    <t>861-1087</t>
  </si>
  <si>
    <t>861-1094</t>
  </si>
  <si>
    <t>861-1097</t>
  </si>
  <si>
    <t>861-1098</t>
  </si>
  <si>
    <t>861-1099</t>
  </si>
  <si>
    <t>861-1101</t>
  </si>
  <si>
    <t>861-1102</t>
  </si>
  <si>
    <t>861-1106</t>
  </si>
  <si>
    <t>561-16</t>
  </si>
  <si>
    <t>561-115</t>
  </si>
  <si>
    <t>561-116</t>
  </si>
  <si>
    <t>561-124</t>
  </si>
  <si>
    <t>561-130</t>
  </si>
  <si>
    <t>561-140</t>
  </si>
  <si>
    <t>461-05</t>
  </si>
  <si>
    <t>561-05</t>
  </si>
  <si>
    <t>561-06</t>
  </si>
  <si>
    <t>561-07</t>
  </si>
  <si>
    <t>461-07</t>
  </si>
  <si>
    <t>461-06</t>
  </si>
  <si>
    <t>361-05</t>
  </si>
  <si>
    <t>561-11</t>
  </si>
  <si>
    <t>861-1090</t>
  </si>
  <si>
    <t>Pumpy</t>
  </si>
  <si>
    <t>Reamrks</t>
  </si>
  <si>
    <t>Status</t>
  </si>
  <si>
    <t>Unit Price    (Per Pair)</t>
  </si>
  <si>
    <t>Total Price</t>
  </si>
  <si>
    <t>8-3024</t>
  </si>
  <si>
    <t>8-4025</t>
  </si>
  <si>
    <t>8-6025</t>
  </si>
  <si>
    <t>8-1632</t>
  </si>
  <si>
    <t>8-341094</t>
  </si>
  <si>
    <t>8-431094</t>
  </si>
  <si>
    <t>8-921094</t>
  </si>
  <si>
    <t>8-561094</t>
  </si>
  <si>
    <t>8-651094</t>
  </si>
  <si>
    <t>8-631097</t>
  </si>
  <si>
    <t>8-341135</t>
  </si>
  <si>
    <t>8-561136</t>
  </si>
  <si>
    <t>8-651136</t>
  </si>
  <si>
    <t>8-951136</t>
  </si>
  <si>
    <t>8-651138</t>
  </si>
  <si>
    <t>8-951138</t>
  </si>
  <si>
    <t>8-401147</t>
  </si>
  <si>
    <t>8-601147</t>
  </si>
  <si>
    <t>5-951136</t>
  </si>
  <si>
    <t>5-651136</t>
  </si>
  <si>
    <t>5-561136</t>
  </si>
  <si>
    <t>5-651138</t>
  </si>
  <si>
    <t>5-561094</t>
  </si>
  <si>
    <t>5-341094</t>
  </si>
  <si>
    <t>5-921094</t>
  </si>
  <si>
    <t>5-431094</t>
  </si>
  <si>
    <t>5-52170</t>
  </si>
  <si>
    <t>5-95157</t>
  </si>
  <si>
    <t>5-34160</t>
  </si>
  <si>
    <t>5-43160</t>
  </si>
  <si>
    <t>5-59164</t>
  </si>
  <si>
    <t>5-43164</t>
  </si>
  <si>
    <t>5-34164</t>
  </si>
  <si>
    <t>5-95164</t>
  </si>
  <si>
    <t>5-42170</t>
  </si>
  <si>
    <t>5-43171</t>
  </si>
  <si>
    <t>5-30184</t>
  </si>
  <si>
    <t>5-50184</t>
  </si>
  <si>
    <t>5-550184</t>
  </si>
  <si>
    <t>5-60184</t>
  </si>
  <si>
    <t>5-50185</t>
  </si>
  <si>
    <t>5-550185</t>
  </si>
  <si>
    <t>5-60185</t>
  </si>
  <si>
    <t>5-30187</t>
  </si>
  <si>
    <t>5-40187</t>
  </si>
  <si>
    <t>5-401128</t>
  </si>
  <si>
    <t>4-921094</t>
  </si>
  <si>
    <t>3-561094</t>
  </si>
  <si>
    <t>3-341094</t>
  </si>
  <si>
    <t>4-50178</t>
  </si>
  <si>
    <t>4-95178</t>
  </si>
  <si>
    <t>4-90172</t>
  </si>
  <si>
    <t>3-90172</t>
  </si>
  <si>
    <t>3-550172</t>
  </si>
  <si>
    <t xml:space="preserve">3-602024 </t>
  </si>
  <si>
    <t xml:space="preserve">0-602024 </t>
  </si>
  <si>
    <t>0-952024</t>
  </si>
  <si>
    <t>3-432027</t>
  </si>
  <si>
    <t>0-562027</t>
  </si>
  <si>
    <t>0-432027</t>
  </si>
  <si>
    <t>0-342027</t>
  </si>
  <si>
    <t>4-550177</t>
  </si>
  <si>
    <t>3-50177</t>
  </si>
  <si>
    <t>4-50177</t>
  </si>
  <si>
    <t>3-50175</t>
  </si>
  <si>
    <t>3-50176</t>
  </si>
  <si>
    <t>3-90176</t>
  </si>
  <si>
    <t>5-601154</t>
  </si>
  <si>
    <t>5-401154</t>
  </si>
  <si>
    <t>5-301154</t>
  </si>
  <si>
    <t>Gents Pumpy</t>
  </si>
  <si>
    <t>3- 802035</t>
  </si>
  <si>
    <t>4-802035</t>
  </si>
  <si>
    <t>5-591151</t>
  </si>
  <si>
    <t>5-531151</t>
  </si>
  <si>
    <t>5-901150</t>
  </si>
  <si>
    <t>4-302035</t>
  </si>
  <si>
    <t>3-302035</t>
  </si>
  <si>
    <t>8-4023</t>
  </si>
  <si>
    <t>8-6023</t>
  </si>
  <si>
    <t>8-4021</t>
  </si>
  <si>
    <t>8-3021</t>
  </si>
  <si>
    <t>8-301147</t>
  </si>
  <si>
    <t>8-6021</t>
  </si>
  <si>
    <t>8-3023</t>
  </si>
  <si>
    <t>5-34171</t>
  </si>
  <si>
    <t>5-63160</t>
  </si>
  <si>
    <t>5-401130A(B)</t>
  </si>
  <si>
    <t>3-3010</t>
  </si>
  <si>
    <t>3-6010</t>
  </si>
  <si>
    <t>4-3010</t>
  </si>
  <si>
    <t>5-6830</t>
  </si>
  <si>
    <t>4-3406</t>
  </si>
  <si>
    <t>3-4205</t>
  </si>
  <si>
    <t>3-3406</t>
  </si>
  <si>
    <t>4-5206</t>
  </si>
  <si>
    <t>3-5206</t>
  </si>
  <si>
    <t xml:space="preserve">5-692026 </t>
  </si>
  <si>
    <t>5-60141</t>
  </si>
  <si>
    <t>4-4206</t>
  </si>
  <si>
    <t>4-6206</t>
  </si>
  <si>
    <t>3-4206</t>
  </si>
  <si>
    <t>3-6206</t>
  </si>
  <si>
    <t>4-55013</t>
  </si>
  <si>
    <t>4-3013</t>
  </si>
  <si>
    <t>3-3013</t>
  </si>
  <si>
    <t>3-55013</t>
  </si>
  <si>
    <t>5-9761</t>
  </si>
  <si>
    <t>4-5506</t>
  </si>
  <si>
    <t>3-5506</t>
  </si>
  <si>
    <t>3-607</t>
  </si>
  <si>
    <t>4-607</t>
  </si>
  <si>
    <t>5-4216</t>
  </si>
  <si>
    <t>5-981195</t>
  </si>
  <si>
    <t>5-60187</t>
  </si>
  <si>
    <t>5-9261</t>
  </si>
  <si>
    <t>4-431094</t>
  </si>
  <si>
    <t>5-6018</t>
  </si>
  <si>
    <t>4-651094</t>
  </si>
  <si>
    <t>3-6205</t>
  </si>
  <si>
    <t>4-6205</t>
  </si>
  <si>
    <t>4-341094</t>
  </si>
  <si>
    <t>5-5216</t>
  </si>
  <si>
    <t>5-651094</t>
  </si>
  <si>
    <t>8-4052</t>
  </si>
  <si>
    <t>8-6052</t>
  </si>
  <si>
    <t>8-3052</t>
  </si>
  <si>
    <t>8-604</t>
  </si>
  <si>
    <t>8-404</t>
  </si>
  <si>
    <t>8-408</t>
  </si>
  <si>
    <t>8-608</t>
  </si>
  <si>
    <t>8-9208</t>
  </si>
  <si>
    <t>8-308</t>
  </si>
  <si>
    <t>8-304</t>
  </si>
  <si>
    <t>8-303</t>
  </si>
  <si>
    <t>8-403</t>
  </si>
  <si>
    <t>8-603</t>
  </si>
  <si>
    <t>8-4231</t>
  </si>
  <si>
    <t>8-6231</t>
  </si>
  <si>
    <t>8-6028</t>
  </si>
  <si>
    <t>8-4028</t>
  </si>
  <si>
    <t>5-43166</t>
  </si>
  <si>
    <t>8-7028</t>
  </si>
  <si>
    <t>8-4029</t>
  </si>
  <si>
    <t>5-34166</t>
  </si>
  <si>
    <t>8-6029</t>
  </si>
  <si>
    <t>8-9028</t>
  </si>
  <si>
    <t>8-9029</t>
  </si>
  <si>
    <t>5-501150</t>
  </si>
  <si>
    <t>3- 502035</t>
  </si>
  <si>
    <t>8-471138</t>
  </si>
  <si>
    <t>8-9231</t>
  </si>
  <si>
    <t>3-5935</t>
  </si>
  <si>
    <t>3-6335</t>
  </si>
  <si>
    <t>0-6335</t>
  </si>
  <si>
    <t>4-55015</t>
  </si>
  <si>
    <t>3-55015</t>
  </si>
  <si>
    <t>3-5335</t>
  </si>
  <si>
    <t>0-8735</t>
  </si>
  <si>
    <t>3-8735</t>
  </si>
  <si>
    <t>5-6054</t>
  </si>
  <si>
    <t>4-55205</t>
  </si>
  <si>
    <t>3-3015</t>
  </si>
  <si>
    <t>4-3015</t>
  </si>
  <si>
    <t>4-55010</t>
  </si>
  <si>
    <t>3-5015</t>
  </si>
  <si>
    <t>4-5015</t>
  </si>
  <si>
    <t>3-3012</t>
  </si>
  <si>
    <t>3-55012</t>
  </si>
  <si>
    <t>3-5012</t>
  </si>
  <si>
    <t>3-302</t>
  </si>
  <si>
    <t>3-5502</t>
  </si>
  <si>
    <t>4-302</t>
  </si>
  <si>
    <t>4-5502</t>
  </si>
  <si>
    <t>5-30167</t>
  </si>
  <si>
    <t>5-40167</t>
  </si>
  <si>
    <t>5-60168</t>
  </si>
  <si>
    <t>5-60167</t>
  </si>
  <si>
    <t>5-62168</t>
  </si>
  <si>
    <t>5-43169</t>
  </si>
  <si>
    <t>8-30664</t>
  </si>
  <si>
    <t>8-40664</t>
  </si>
  <si>
    <t>5-60169</t>
  </si>
  <si>
    <t>8-60664</t>
  </si>
  <si>
    <t>5- 60664</t>
  </si>
  <si>
    <t>5- 30664</t>
  </si>
  <si>
    <t>5- 40664</t>
  </si>
  <si>
    <t>8-43665</t>
  </si>
  <si>
    <t>8-62665</t>
  </si>
  <si>
    <t>8-92665</t>
  </si>
  <si>
    <t>4-40664</t>
  </si>
  <si>
    <t>4-60664</t>
  </si>
  <si>
    <t>5-10173</t>
  </si>
  <si>
    <t>5-20173</t>
  </si>
  <si>
    <t>5-40173</t>
  </si>
  <si>
    <t>5-60173</t>
  </si>
  <si>
    <t>5-10174</t>
  </si>
  <si>
    <t>5-60174</t>
  </si>
  <si>
    <t>5-90174</t>
  </si>
  <si>
    <t>5-550174</t>
  </si>
  <si>
    <t>5-550173</t>
  </si>
  <si>
    <t>5-10188</t>
  </si>
  <si>
    <t>5-550188</t>
  </si>
  <si>
    <t>5-60188</t>
  </si>
  <si>
    <t>5-40174</t>
  </si>
  <si>
    <t>8-40667</t>
  </si>
  <si>
    <t>8-60667</t>
  </si>
  <si>
    <t>5-40188</t>
  </si>
  <si>
    <t>M.D</t>
  </si>
  <si>
    <t>5-90188</t>
  </si>
  <si>
    <t>5-65154</t>
  </si>
  <si>
    <t>4-40182</t>
  </si>
  <si>
    <t>0-922027</t>
  </si>
  <si>
    <t>8-951094</t>
  </si>
  <si>
    <t xml:space="preserve"> </t>
  </si>
  <si>
    <t>8-4024</t>
  </si>
  <si>
    <t>8-6024</t>
  </si>
  <si>
    <t>5-550180</t>
  </si>
  <si>
    <t>3-562027</t>
  </si>
  <si>
    <t>8-471136</t>
  </si>
  <si>
    <t>8-201096</t>
  </si>
  <si>
    <t>8-401096</t>
  </si>
  <si>
    <t>8-601096</t>
  </si>
  <si>
    <t>8-901096</t>
  </si>
  <si>
    <t>8-2029</t>
  </si>
  <si>
    <t>5-60163</t>
  </si>
  <si>
    <t>8-20002</t>
  </si>
  <si>
    <t>8-40002</t>
  </si>
  <si>
    <t>8-60002</t>
  </si>
  <si>
    <t>5-401130</t>
  </si>
  <si>
    <t>8-2028</t>
  </si>
  <si>
    <t>8-7029</t>
  </si>
  <si>
    <t>5-40102</t>
  </si>
  <si>
    <t>5-60102</t>
  </si>
  <si>
    <t>8-20004</t>
  </si>
  <si>
    <t>8-40004</t>
  </si>
  <si>
    <t>8-60004</t>
  </si>
  <si>
    <t>4-201096</t>
  </si>
  <si>
    <t>4-401096</t>
  </si>
  <si>
    <t>5-201096</t>
  </si>
  <si>
    <t>5-401096</t>
  </si>
  <si>
    <t>5-550189</t>
  </si>
  <si>
    <t>5-60189</t>
  </si>
  <si>
    <t>5-431138</t>
  </si>
  <si>
    <t>5-6537</t>
  </si>
  <si>
    <t>4-6537</t>
  </si>
  <si>
    <t>5-6937</t>
  </si>
  <si>
    <t>4-6937</t>
  </si>
  <si>
    <t>4-30664</t>
  </si>
  <si>
    <t>8-6526</t>
  </si>
  <si>
    <t>8-9526</t>
  </si>
  <si>
    <t>0-9239</t>
  </si>
  <si>
    <t>0-4239</t>
  </si>
  <si>
    <t>3-4239</t>
  </si>
  <si>
    <t>3-9239</t>
  </si>
  <si>
    <t>8-321097</t>
  </si>
  <si>
    <t>5-601096</t>
  </si>
  <si>
    <t>8-6530</t>
  </si>
  <si>
    <t>8-6730</t>
  </si>
  <si>
    <t>8-6930</t>
  </si>
  <si>
    <t>5-601130</t>
  </si>
  <si>
    <t>8-30663</t>
  </si>
  <si>
    <t>5-59131</t>
  </si>
  <si>
    <t>3-2007</t>
  </si>
  <si>
    <t xml:space="preserve">0-562024 </t>
  </si>
  <si>
    <t>3-20666</t>
  </si>
  <si>
    <t>3-30666</t>
  </si>
  <si>
    <t>3-550666</t>
  </si>
  <si>
    <t>Nexa</t>
  </si>
  <si>
    <t>4-20666</t>
  </si>
  <si>
    <t>4-30666</t>
  </si>
  <si>
    <t>4-550666</t>
  </si>
  <si>
    <t>3-30777</t>
  </si>
  <si>
    <t>3-550777</t>
  </si>
  <si>
    <t>4-30777</t>
  </si>
  <si>
    <t>4-550777</t>
  </si>
  <si>
    <t>8-341101</t>
  </si>
  <si>
    <t>8-431101</t>
  </si>
  <si>
    <t>8-421097</t>
  </si>
  <si>
    <t>Victory Footwear Stock 14-05-2026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</si>
</sst>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/-&quot;"/>
  </numFmts>
  <fonts count="2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b/>
      <sz val="16"/>
      <color rgb="FFFF0000"/>
      <name val="Times New Roman"/>
      <family val="1"/>
    </font>
    <font>
      <sz val="28"/>
      <color rgb="FFFF0000"/>
      <name val="Times New Roman"/>
      <family val="1"/>
    </font>
    <font>
      <sz val="20"/>
      <name val="Times New Roman"/>
      <family val="1"/>
    </font>
    <font>
      <b/>
      <sz val="20"/>
      <color rgb="FFFF0000"/>
      <name val="SutonnyMJ"/>
    </font>
    <font>
      <b/>
      <sz val="11"/>
      <color rgb="FFFF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16"/>
      <color rgb="FFFF0000"/>
      <name val="Times New Roman"/>
      <family val="1"/>
    </font>
    <font>
      <sz val="14"/>
      <color rgb="FFFF0000"/>
      <name val="Times New Roman"/>
      <family val="1"/>
    </font>
    <font>
      <b/>
      <sz val="16"/>
      <color theme="3" tint="-0.49998474074526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5" fillId="0" borderId="0" xfId="0" applyFont="1"/>
    <xf numFmtId="0" fontId="11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0" xfId="0" applyFont="1"/>
    <xf numFmtId="0" fontId="13" fillId="2" borderId="0" xfId="0" applyFont="1" applyFill="1" applyAlignment="1">
      <alignment vertical="center"/>
    </xf>
    <xf numFmtId="0" fontId="9" fillId="6" borderId="2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14" fillId="4" borderId="18" xfId="0" applyNumberFormat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/>
    </xf>
    <xf numFmtId="164" fontId="14" fillId="4" borderId="19" xfId="0" applyNumberFormat="1" applyFont="1" applyFill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/>
    <xf numFmtId="0" fontId="7" fillId="0" borderId="0" xfId="0" applyFont="1"/>
    <xf numFmtId="0" fontId="1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1" fillId="0" borderId="0" xfId="0" applyNumberFormat="1" applyFont="1"/>
    <xf numFmtId="0" fontId="1" fillId="0" borderId="1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0" borderId="20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1" fontId="9" fillId="3" borderId="6" xfId="0" applyNumberFormat="1" applyFont="1" applyFill="1" applyBorder="1" applyAlignment="1">
      <alignment horizontal="center" vertical="center"/>
    </xf>
    <xf numFmtId="49" fontId="9" fillId="3" borderId="6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0" fontId="12" fillId="4" borderId="8" xfId="0" applyFont="1" applyFill="1" applyBorder="1" applyAlignment="1">
      <alignment vertical="center"/>
    </xf>
    <xf numFmtId="1" fontId="9" fillId="0" borderId="1" xfId="0" applyNumberFormat="1" applyFont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49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1" fontId="12" fillId="2" borderId="0" xfId="0" applyNumberFormat="1" applyFont="1" applyFill="1" applyAlignment="1">
      <alignment horizontal="center"/>
    </xf>
    <xf numFmtId="49" fontId="12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/>
    <xf numFmtId="0" fontId="12" fillId="2" borderId="0" xfId="0" applyFont="1" applyFill="1"/>
    <xf numFmtId="0" fontId="12" fillId="0" borderId="0" xfId="0" applyFont="1"/>
    <xf numFmtId="49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" fontId="8" fillId="5" borderId="5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9" fillId="0" borderId="14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1" fontId="9" fillId="8" borderId="3" xfId="0" applyNumberFormat="1" applyFont="1" applyFill="1" applyBorder="1" applyAlignment="1">
      <alignment horizontal="center" vertical="center"/>
    </xf>
    <xf numFmtId="1" fontId="9" fillId="8" borderId="25" xfId="0" applyNumberFormat="1" applyFont="1" applyFill="1" applyBorder="1" applyAlignment="1">
      <alignment horizontal="center" vertical="center"/>
    </xf>
    <xf numFmtId="1" fontId="9" fillId="8" borderId="4" xfId="0" applyNumberFormat="1" applyFont="1" applyFill="1" applyBorder="1" applyAlignment="1">
      <alignment horizontal="center" vertical="center"/>
    </xf>
    <xf numFmtId="1" fontId="9" fillId="8" borderId="28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" fontId="9" fillId="8" borderId="30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49" fontId="9" fillId="0" borderId="1" xfId="0" quotePrefix="1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49" fontId="1" fillId="0" borderId="6" xfId="0" applyNumberFormat="1" applyFont="1" applyBorder="1" applyAlignment="1">
      <alignment horizontal="center" vertical="center"/>
    </xf>
    <xf numFmtId="0" fontId="23" fillId="2" borderId="1" xfId="0" applyFont="1" applyFill="1" applyBorder="1" applyAlignment="1">
      <alignment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49" fontId="9" fillId="9" borderId="1" xfId="0" quotePrefix="1" applyNumberFormat="1" applyFont="1" applyFill="1" applyBorder="1" applyAlignment="1">
      <alignment horizontal="center" vertical="center"/>
    </xf>
    <xf numFmtId="1" fontId="9" fillId="0" borderId="14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1" fontId="16" fillId="7" borderId="11" xfId="0" applyNumberFormat="1" applyFont="1" applyFill="1" applyBorder="1" applyAlignment="1">
      <alignment horizontal="center" vertical="center"/>
    </xf>
    <xf numFmtId="1" fontId="16" fillId="7" borderId="12" xfId="0" applyNumberFormat="1" applyFont="1" applyFill="1" applyBorder="1" applyAlignment="1">
      <alignment horizontal="center" vertical="center"/>
    </xf>
    <xf numFmtId="1" fontId="9" fillId="8" borderId="3" xfId="0" applyNumberFormat="1" applyFont="1" applyFill="1" applyBorder="1" applyAlignment="1">
      <alignment horizontal="center" vertical="center"/>
    </xf>
    <xf numFmtId="1" fontId="9" fillId="8" borderId="25" xfId="0" applyNumberFormat="1" applyFont="1" applyFill="1" applyBorder="1" applyAlignment="1">
      <alignment horizontal="center" vertical="center"/>
    </xf>
    <xf numFmtId="1" fontId="9" fillId="8" borderId="4" xfId="0" applyNumberFormat="1" applyFont="1" applyFill="1" applyBorder="1" applyAlignment="1">
      <alignment horizontal="center" vertical="center"/>
    </xf>
    <xf numFmtId="1" fontId="9" fillId="4" borderId="3" xfId="0" applyNumberFormat="1" applyFont="1" applyFill="1" applyBorder="1" applyAlignment="1">
      <alignment horizontal="center" vertical="center"/>
    </xf>
    <xf numFmtId="1" fontId="9" fillId="4" borderId="4" xfId="0" applyNumberFormat="1" applyFont="1" applyFill="1" applyBorder="1" applyAlignment="1">
      <alignment horizontal="center" vertical="center"/>
    </xf>
    <xf numFmtId="1" fontId="9" fillId="4" borderId="26" xfId="0" applyNumberFormat="1" applyFont="1" applyFill="1" applyBorder="1" applyAlignment="1">
      <alignment horizontal="center" vertical="center"/>
    </xf>
    <xf numFmtId="1" fontId="9" fillId="4" borderId="27" xfId="0" applyNumberFormat="1" applyFont="1" applyFill="1" applyBorder="1" applyAlignment="1">
      <alignment horizontal="center" vertical="center"/>
    </xf>
    <xf numFmtId="1" fontId="9" fillId="4" borderId="9" xfId="0" applyNumberFormat="1" applyFont="1" applyFill="1" applyBorder="1" applyAlignment="1">
      <alignment horizontal="center" vertical="center"/>
    </xf>
    <xf numFmtId="1" fontId="9" fillId="4" borderId="10" xfId="0" applyNumberFormat="1" applyFont="1" applyFill="1" applyBorder="1" applyAlignment="1">
      <alignment horizontal="center" vertical="center"/>
    </xf>
    <xf numFmtId="1" fontId="9" fillId="6" borderId="3" xfId="0" applyNumberFormat="1" applyFont="1" applyFill="1" applyBorder="1" applyAlignment="1">
      <alignment horizontal="center" vertical="center"/>
    </xf>
    <xf numFmtId="1" fontId="9" fillId="6" borderId="4" xfId="0" applyNumberFormat="1" applyFont="1" applyFill="1" applyBorder="1" applyAlignment="1">
      <alignment horizontal="center" vertical="center"/>
    </xf>
    <xf numFmtId="1" fontId="9" fillId="4" borderId="17" xfId="0" applyNumberFormat="1" applyFont="1" applyFill="1" applyBorder="1" applyAlignment="1">
      <alignment horizontal="center" vertical="center"/>
    </xf>
    <xf numFmtId="1" fontId="9" fillId="4" borderId="1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/>
    </xf>
    <xf numFmtId="49" fontId="9" fillId="0" borderId="1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56798</xdr:colOff>
      <xdr:row>71</xdr:row>
      <xdr:rowOff>177798</xdr:rowOff>
    </xdr:from>
    <xdr:to>
      <xdr:col>3</xdr:col>
      <xdr:colOff>518222</xdr:colOff>
      <xdr:row>81</xdr:row>
      <xdr:rowOff>177799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06" b="22962"/>
        <a:stretch/>
      </xdr:blipFill>
      <xdr:spPr>
        <a:xfrm rot="10800000">
          <a:off x="666398" y="12801598"/>
          <a:ext cx="1680624" cy="1778001"/>
        </a:xfrm>
        <a:prstGeom prst="rect">
          <a:avLst/>
        </a:prstGeom>
      </xdr:spPr>
    </xdr:pic>
    <xdr:clientData/>
  </xdr:twoCellAnchor>
  <xdr:twoCellAnchor editAs="oneCell">
    <xdr:from>
      <xdr:col>4</xdr:col>
      <xdr:colOff>596900</xdr:colOff>
      <xdr:row>56</xdr:row>
      <xdr:rowOff>33781</xdr:rowOff>
    </xdr:from>
    <xdr:to>
      <xdr:col>7</xdr:col>
      <xdr:colOff>546100</xdr:colOff>
      <xdr:row>67</xdr:row>
      <xdr:rowOff>171449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371" b="26894"/>
        <a:stretch/>
      </xdr:blipFill>
      <xdr:spPr>
        <a:xfrm rot="10800000">
          <a:off x="3035300" y="9990581"/>
          <a:ext cx="1778000" cy="2093468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</xdr:colOff>
      <xdr:row>28</xdr:row>
      <xdr:rowOff>19057</xdr:rowOff>
    </xdr:from>
    <xdr:to>
      <xdr:col>15</xdr:col>
      <xdr:colOff>539750</xdr:colOff>
      <xdr:row>39</xdr:row>
      <xdr:rowOff>146054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99" t="2870" r="4801" b="8389"/>
        <a:stretch/>
      </xdr:blipFill>
      <xdr:spPr>
        <a:xfrm rot="5400000">
          <a:off x="7769226" y="5165731"/>
          <a:ext cx="2082797" cy="1746250"/>
        </a:xfrm>
        <a:prstGeom prst="rect">
          <a:avLst/>
        </a:prstGeom>
      </xdr:spPr>
    </xdr:pic>
    <xdr:clientData/>
  </xdr:twoCellAnchor>
  <xdr:twoCellAnchor editAs="oneCell">
    <xdr:from>
      <xdr:col>1</xdr:col>
      <xdr:colOff>44448</xdr:colOff>
      <xdr:row>28</xdr:row>
      <xdr:rowOff>5418</xdr:rowOff>
    </xdr:from>
    <xdr:to>
      <xdr:col>3</xdr:col>
      <xdr:colOff>590549</xdr:colOff>
      <xdr:row>40</xdr:row>
      <xdr:rowOff>2354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07" b="30411"/>
        <a:stretch/>
      </xdr:blipFill>
      <xdr:spPr>
        <a:xfrm rot="10800000">
          <a:off x="654048" y="4983818"/>
          <a:ext cx="1765301" cy="2130536"/>
        </a:xfrm>
        <a:prstGeom prst="rect">
          <a:avLst/>
        </a:prstGeom>
      </xdr:spPr>
    </xdr:pic>
    <xdr:clientData/>
  </xdr:twoCellAnchor>
  <xdr:twoCellAnchor editAs="oneCell">
    <xdr:from>
      <xdr:col>13</xdr:col>
      <xdr:colOff>25397</xdr:colOff>
      <xdr:row>14</xdr:row>
      <xdr:rowOff>19050</xdr:rowOff>
    </xdr:from>
    <xdr:to>
      <xdr:col>15</xdr:col>
      <xdr:colOff>602292</xdr:colOff>
      <xdr:row>25</xdr:row>
      <xdr:rowOff>170308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4" t="15584" r="8002" b="12500"/>
        <a:stretch/>
      </xdr:blipFill>
      <xdr:spPr>
        <a:xfrm rot="10800000">
          <a:off x="7950197" y="2508250"/>
          <a:ext cx="1796095" cy="2107058"/>
        </a:xfrm>
        <a:prstGeom prst="rect">
          <a:avLst/>
        </a:prstGeom>
      </xdr:spPr>
    </xdr:pic>
    <xdr:clientData/>
  </xdr:twoCellAnchor>
  <xdr:twoCellAnchor editAs="oneCell">
    <xdr:from>
      <xdr:col>0</xdr:col>
      <xdr:colOff>587456</xdr:colOff>
      <xdr:row>42</xdr:row>
      <xdr:rowOff>3753</xdr:rowOff>
    </xdr:from>
    <xdr:to>
      <xdr:col>3</xdr:col>
      <xdr:colOff>596899</xdr:colOff>
      <xdr:row>53</xdr:row>
      <xdr:rowOff>171448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485" b="24697"/>
        <a:stretch/>
      </xdr:blipFill>
      <xdr:spPr>
        <a:xfrm rot="10800000">
          <a:off x="587456" y="7471353"/>
          <a:ext cx="1838243" cy="2123495"/>
        </a:xfrm>
        <a:prstGeom prst="rect">
          <a:avLst/>
        </a:prstGeom>
      </xdr:spPr>
    </xdr:pic>
    <xdr:clientData/>
  </xdr:twoCellAnchor>
  <xdr:twoCellAnchor editAs="oneCell">
    <xdr:from>
      <xdr:col>13</xdr:col>
      <xdr:colOff>31750</xdr:colOff>
      <xdr:row>0</xdr:row>
      <xdr:rowOff>19049</xdr:rowOff>
    </xdr:from>
    <xdr:to>
      <xdr:col>15</xdr:col>
      <xdr:colOff>596900</xdr:colOff>
      <xdr:row>11</xdr:row>
      <xdr:rowOff>158749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99" b="28914"/>
        <a:stretch/>
      </xdr:blipFill>
      <xdr:spPr>
        <a:xfrm rot="10800000">
          <a:off x="7956550" y="19049"/>
          <a:ext cx="1784350" cy="20955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56</xdr:row>
      <xdr:rowOff>21176</xdr:rowOff>
    </xdr:from>
    <xdr:to>
      <xdr:col>11</xdr:col>
      <xdr:colOff>565150</xdr:colOff>
      <xdr:row>67</xdr:row>
      <xdr:rowOff>171453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344586" y="10157890"/>
          <a:ext cx="2106077" cy="174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84</xdr:row>
      <xdr:rowOff>38099</xdr:rowOff>
    </xdr:from>
    <xdr:to>
      <xdr:col>3</xdr:col>
      <xdr:colOff>527050</xdr:colOff>
      <xdr:row>95</xdr:row>
      <xdr:rowOff>160502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77" t="9055" r="2177" b="31790"/>
        <a:stretch/>
      </xdr:blipFill>
      <xdr:spPr>
        <a:xfrm>
          <a:off x="590550" y="14973299"/>
          <a:ext cx="1765300" cy="2078203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70</xdr:row>
      <xdr:rowOff>31750</xdr:rowOff>
    </xdr:from>
    <xdr:to>
      <xdr:col>7</xdr:col>
      <xdr:colOff>593264</xdr:colOff>
      <xdr:row>81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162" b="26450"/>
        <a:stretch/>
      </xdr:blipFill>
      <xdr:spPr>
        <a:xfrm rot="10800000">
          <a:off x="3067050" y="12477750"/>
          <a:ext cx="1793414" cy="208915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12701</xdr:colOff>
      <xdr:row>84</xdr:row>
      <xdr:rowOff>6350</xdr:rowOff>
    </xdr:from>
    <xdr:to>
      <xdr:col>15</xdr:col>
      <xdr:colOff>565151</xdr:colOff>
      <xdr:row>95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114" b="31981"/>
        <a:stretch/>
      </xdr:blipFill>
      <xdr:spPr>
        <a:xfrm>
          <a:off x="7937501" y="14941550"/>
          <a:ext cx="1771650" cy="20891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12701</xdr:colOff>
      <xdr:row>42</xdr:row>
      <xdr:rowOff>22442</xdr:rowOff>
    </xdr:from>
    <xdr:to>
      <xdr:col>7</xdr:col>
      <xdr:colOff>571501</xdr:colOff>
      <xdr:row>53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0701" y="7490042"/>
          <a:ext cx="1778000" cy="2066708"/>
        </a:xfrm>
        <a:prstGeom prst="rect">
          <a:avLst/>
        </a:prstGeom>
      </xdr:spPr>
    </xdr:pic>
    <xdr:clientData/>
  </xdr:twoCellAnchor>
  <xdr:twoCellAnchor editAs="oneCell">
    <xdr:from>
      <xdr:col>13</xdr:col>
      <xdr:colOff>31950</xdr:colOff>
      <xdr:row>42</xdr:row>
      <xdr:rowOff>107950</xdr:rowOff>
    </xdr:from>
    <xdr:to>
      <xdr:col>15</xdr:col>
      <xdr:colOff>592837</xdr:colOff>
      <xdr:row>52</xdr:row>
      <xdr:rowOff>44450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750" y="7575550"/>
          <a:ext cx="1780087" cy="1714500"/>
        </a:xfrm>
        <a:prstGeom prst="rect">
          <a:avLst/>
        </a:prstGeom>
      </xdr:spPr>
    </xdr:pic>
    <xdr:clientData/>
  </xdr:twoCellAnchor>
  <xdr:twoCellAnchor editAs="oneCell">
    <xdr:from>
      <xdr:col>0</xdr:col>
      <xdr:colOff>275762</xdr:colOff>
      <xdr:row>1</xdr:row>
      <xdr:rowOff>42941</xdr:rowOff>
    </xdr:from>
    <xdr:to>
      <xdr:col>4</xdr:col>
      <xdr:colOff>164822</xdr:colOff>
      <xdr:row>11</xdr:row>
      <xdr:rowOff>45747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906853">
          <a:off x="275762" y="220741"/>
          <a:ext cx="2327460" cy="1780806"/>
        </a:xfrm>
        <a:prstGeom prst="rect">
          <a:avLst/>
        </a:prstGeom>
      </xdr:spPr>
    </xdr:pic>
    <xdr:clientData/>
  </xdr:twoCellAnchor>
  <xdr:twoCellAnchor editAs="oneCell">
    <xdr:from>
      <xdr:col>9</xdr:col>
      <xdr:colOff>50800</xdr:colOff>
      <xdr:row>70</xdr:row>
      <xdr:rowOff>9905</xdr:rowOff>
    </xdr:from>
    <xdr:to>
      <xdr:col>11</xdr:col>
      <xdr:colOff>603250</xdr:colOff>
      <xdr:row>81</xdr:row>
      <xdr:rowOff>158750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402" b="24212"/>
        <a:stretch/>
      </xdr:blipFill>
      <xdr:spPr>
        <a:xfrm flipH="1">
          <a:off x="5537200" y="12455905"/>
          <a:ext cx="1771650" cy="210464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6351</xdr:colOff>
      <xdr:row>70</xdr:row>
      <xdr:rowOff>6350</xdr:rowOff>
    </xdr:from>
    <xdr:to>
      <xdr:col>15</xdr:col>
      <xdr:colOff>603251</xdr:colOff>
      <xdr:row>82</xdr:row>
      <xdr:rowOff>6350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365" b="27348"/>
        <a:stretch/>
      </xdr:blipFill>
      <xdr:spPr>
        <a:xfrm>
          <a:off x="7931151" y="12452350"/>
          <a:ext cx="1816100" cy="213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3</xdr:row>
      <xdr:rowOff>50800</xdr:rowOff>
    </xdr:from>
    <xdr:to>
      <xdr:col>2</xdr:col>
      <xdr:colOff>577850</xdr:colOff>
      <xdr:row>4</xdr:row>
      <xdr:rowOff>101600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44450" y="603250"/>
          <a:ext cx="1752600" cy="234950"/>
        </a:xfrm>
        <a:prstGeom prst="rect">
          <a:avLst/>
        </a:pr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O300"/>
  <sheetViews>
    <sheetView tabSelected="1" zoomScaleNormal="100" workbookViewId="0">
      <pane ySplit="2" topLeftCell="A86" activePane="bottomLeft" state="frozen"/>
      <selection pane="bottomLeft" activeCell="P99" sqref="P99"/>
    </sheetView>
  </sheetViews>
  <sheetFormatPr defaultColWidth="8.85546875" defaultRowHeight="15.75" x14ac:dyDescent="0.25"/>
  <cols>
    <col min="1" max="1" width="10.42578125" style="39" customWidth="1"/>
    <col min="2" max="2" width="19.5703125" style="41" bestFit="1" customWidth="1"/>
    <col min="3" max="3" width="12.85546875" style="2" customWidth="1"/>
    <col min="4" max="4" width="9.42578125" style="2" customWidth="1"/>
    <col min="5" max="5" width="12.5703125" style="2" customWidth="1"/>
    <col min="6" max="6" width="10.28515625" style="2" customWidth="1"/>
    <col min="7" max="7" width="17.140625" style="2" customWidth="1"/>
    <col min="8" max="8" width="11.140625" style="2" customWidth="1"/>
    <col min="9" max="9" width="10.28515625" style="2" customWidth="1"/>
    <col min="10" max="10" width="13.7109375" style="2" bestFit="1" customWidth="1"/>
    <col min="11" max="11" width="8.85546875" style="5" hidden="1" customWidth="1"/>
    <col min="12" max="12" width="9.42578125" style="2" hidden="1" customWidth="1"/>
    <col min="13" max="13" width="13.7109375" style="2" customWidth="1"/>
    <col min="14" max="16384" width="8.85546875" style="1"/>
  </cols>
  <sheetData>
    <row r="1" spans="1:15" ht="35.25" x14ac:dyDescent="0.25">
      <c r="A1" s="151" t="s">
        <v>333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2"/>
    </row>
    <row r="2" spans="1:15" ht="81" x14ac:dyDescent="0.3">
      <c r="A2" s="56" t="s">
        <v>0</v>
      </c>
      <c r="B2" s="57" t="s">
        <v>4</v>
      </c>
      <c r="C2" s="58" t="s">
        <v>9</v>
      </c>
      <c r="D2" s="58" t="s">
        <v>5</v>
      </c>
      <c r="E2" s="59" t="s">
        <v>14</v>
      </c>
      <c r="F2" s="58" t="s">
        <v>6</v>
      </c>
      <c r="G2" s="59" t="s">
        <v>12</v>
      </c>
      <c r="H2" s="59" t="s">
        <v>7</v>
      </c>
      <c r="I2" s="59" t="s">
        <v>8</v>
      </c>
      <c r="J2" s="118" t="s">
        <v>51</v>
      </c>
      <c r="K2" s="54" t="s">
        <v>52</v>
      </c>
      <c r="L2" s="53" t="s">
        <v>53</v>
      </c>
      <c r="M2" s="73" t="s">
        <v>50</v>
      </c>
      <c r="O2" s="1" t="s">
        <v>268</v>
      </c>
    </row>
    <row r="3" spans="1:15" ht="20.25" x14ac:dyDescent="0.25">
      <c r="A3" s="153" t="s">
        <v>17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5"/>
    </row>
    <row r="4" spans="1:15" ht="20.25" hidden="1" x14ac:dyDescent="0.25">
      <c r="A4" s="74">
        <v>1</v>
      </c>
      <c r="B4" s="140" t="s">
        <v>188</v>
      </c>
      <c r="C4" s="3">
        <v>0</v>
      </c>
      <c r="D4" s="3">
        <f t="shared" ref="D4" si="0">C4/24</f>
        <v>0</v>
      </c>
      <c r="E4" s="3"/>
      <c r="F4" s="3">
        <f t="shared" ref="F4" si="1">C4+E4</f>
        <v>0</v>
      </c>
      <c r="G4" s="3"/>
      <c r="H4" s="61">
        <f t="shared" ref="H4:H39" si="2">F4-G4</f>
        <v>0</v>
      </c>
      <c r="I4" s="60">
        <f t="shared" ref="I4" si="3">H4/24</f>
        <v>0</v>
      </c>
      <c r="J4" s="61" t="str">
        <f t="shared" ref="J4" si="4">IF(I4=0,"No Stock","Available")</f>
        <v>No Stock</v>
      </c>
      <c r="K4" s="16"/>
      <c r="L4" s="16"/>
      <c r="M4" s="77"/>
    </row>
    <row r="5" spans="1:15" ht="20.25" hidden="1" x14ac:dyDescent="0.25">
      <c r="A5" s="74">
        <v>2</v>
      </c>
      <c r="B5" s="140" t="s">
        <v>189</v>
      </c>
      <c r="C5" s="3">
        <v>0</v>
      </c>
      <c r="D5" s="3">
        <f t="shared" ref="D5" si="5">C5/24</f>
        <v>0</v>
      </c>
      <c r="E5" s="3"/>
      <c r="F5" s="3">
        <f t="shared" ref="F5" si="6">C5+E5</f>
        <v>0</v>
      </c>
      <c r="G5" s="3"/>
      <c r="H5" s="61">
        <f t="shared" si="2"/>
        <v>0</v>
      </c>
      <c r="I5" s="60">
        <f t="shared" ref="I5" si="7">H5/24</f>
        <v>0</v>
      </c>
      <c r="J5" s="61" t="str">
        <f t="shared" ref="J5" si="8">IF(I5=0,"No Stock","Available")</f>
        <v>No Stock</v>
      </c>
      <c r="K5" s="16"/>
      <c r="L5" s="16"/>
      <c r="M5" s="77"/>
    </row>
    <row r="6" spans="1:15" ht="20.25" hidden="1" x14ac:dyDescent="0.25">
      <c r="A6" s="74">
        <v>3</v>
      </c>
      <c r="B6" s="140" t="s">
        <v>190</v>
      </c>
      <c r="C6" s="3">
        <v>0</v>
      </c>
      <c r="D6" s="3">
        <f t="shared" ref="D6" si="9">C6/24</f>
        <v>0</v>
      </c>
      <c r="E6" s="3"/>
      <c r="F6" s="3">
        <f t="shared" ref="F6" si="10">C6+E6</f>
        <v>0</v>
      </c>
      <c r="G6" s="3"/>
      <c r="H6" s="61">
        <f t="shared" si="2"/>
        <v>0</v>
      </c>
      <c r="I6" s="60">
        <f t="shared" ref="I6" si="11">H6/24</f>
        <v>0</v>
      </c>
      <c r="J6" s="61" t="str">
        <f t="shared" ref="J6" si="12">IF(I6=0,"No Stock","Available")</f>
        <v>No Stock</v>
      </c>
      <c r="K6" s="16"/>
      <c r="L6" s="16"/>
      <c r="M6" s="77"/>
    </row>
    <row r="7" spans="1:15" ht="20.25" hidden="1" x14ac:dyDescent="0.25">
      <c r="A7" s="74">
        <v>4</v>
      </c>
      <c r="B7" s="140" t="s">
        <v>187</v>
      </c>
      <c r="C7" s="3">
        <v>0</v>
      </c>
      <c r="D7" s="3">
        <f t="shared" ref="D7" si="13">C7/24</f>
        <v>0</v>
      </c>
      <c r="E7" s="3"/>
      <c r="F7" s="3">
        <f t="shared" ref="F7" si="14">C7+E7</f>
        <v>0</v>
      </c>
      <c r="G7" s="3"/>
      <c r="H7" s="61">
        <f t="shared" si="2"/>
        <v>0</v>
      </c>
      <c r="I7" s="60">
        <f t="shared" ref="I7" si="15">H7/24</f>
        <v>0</v>
      </c>
      <c r="J7" s="61" t="str">
        <f t="shared" ref="J7" si="16">IF(I7=0,"No Stock","Available")</f>
        <v>No Stock</v>
      </c>
      <c r="K7" s="16"/>
      <c r="L7" s="16"/>
      <c r="M7" s="77"/>
    </row>
    <row r="8" spans="1:15" ht="20.25" hidden="1" x14ac:dyDescent="0.25">
      <c r="A8" s="74">
        <v>5</v>
      </c>
      <c r="B8" s="140" t="s">
        <v>182</v>
      </c>
      <c r="C8" s="3">
        <v>0</v>
      </c>
      <c r="D8" s="3">
        <f t="shared" ref="D8" si="17">C8/24</f>
        <v>0</v>
      </c>
      <c r="E8" s="3"/>
      <c r="F8" s="3">
        <f t="shared" ref="F8" si="18">C8+E8</f>
        <v>0</v>
      </c>
      <c r="G8" s="3"/>
      <c r="H8" s="61">
        <f t="shared" si="2"/>
        <v>0</v>
      </c>
      <c r="I8" s="60">
        <f t="shared" ref="I8" si="19">H8/24</f>
        <v>0</v>
      </c>
      <c r="J8" s="61" t="str">
        <f t="shared" ref="J8" si="20">IF(I8=0,"No Stock","Available")</f>
        <v>No Stock</v>
      </c>
      <c r="K8" s="16"/>
      <c r="L8" s="16"/>
      <c r="M8" s="77"/>
    </row>
    <row r="9" spans="1:15" ht="20.25" hidden="1" x14ac:dyDescent="0.25">
      <c r="A9" s="74">
        <v>6</v>
      </c>
      <c r="B9" s="140" t="s">
        <v>181</v>
      </c>
      <c r="C9" s="3">
        <v>0</v>
      </c>
      <c r="D9" s="3">
        <f t="shared" ref="D9" si="21">C9/24</f>
        <v>0</v>
      </c>
      <c r="E9" s="3"/>
      <c r="F9" s="3">
        <f t="shared" ref="F9" si="22">C9+E9</f>
        <v>0</v>
      </c>
      <c r="G9" s="3"/>
      <c r="H9" s="61">
        <f t="shared" si="2"/>
        <v>0</v>
      </c>
      <c r="I9" s="60">
        <f t="shared" ref="I9" si="23">H9/24</f>
        <v>0</v>
      </c>
      <c r="J9" s="61" t="str">
        <f t="shared" ref="J9" si="24">IF(I9=0,"No Stock","Available")</f>
        <v>No Stock</v>
      </c>
      <c r="K9" s="16"/>
      <c r="L9" s="16"/>
      <c r="M9" s="77"/>
    </row>
    <row r="10" spans="1:15" ht="20.25" hidden="1" x14ac:dyDescent="0.25">
      <c r="A10" s="74">
        <v>7</v>
      </c>
      <c r="B10" s="140" t="s">
        <v>186</v>
      </c>
      <c r="C10" s="3">
        <v>0</v>
      </c>
      <c r="D10" s="3">
        <f t="shared" ref="D10" si="25">C10/24</f>
        <v>0</v>
      </c>
      <c r="E10" s="3"/>
      <c r="F10" s="3">
        <f t="shared" ref="F10" si="26">C10+E10</f>
        <v>0</v>
      </c>
      <c r="G10" s="3"/>
      <c r="H10" s="61">
        <f t="shared" si="2"/>
        <v>0</v>
      </c>
      <c r="I10" s="60">
        <f t="shared" ref="I10" si="27">H10/24</f>
        <v>0</v>
      </c>
      <c r="J10" s="61" t="str">
        <f t="shared" ref="J10" si="28">IF(I10=0,"No Stock","Available")</f>
        <v>No Stock</v>
      </c>
      <c r="K10" s="16"/>
      <c r="L10" s="16"/>
      <c r="M10" s="132"/>
    </row>
    <row r="11" spans="1:15" ht="20.25" hidden="1" x14ac:dyDescent="0.25">
      <c r="A11" s="74">
        <v>8</v>
      </c>
      <c r="B11" s="140" t="s">
        <v>183</v>
      </c>
      <c r="C11" s="3">
        <v>0</v>
      </c>
      <c r="D11" s="3">
        <f t="shared" ref="D11" si="29">C11/24</f>
        <v>0</v>
      </c>
      <c r="E11" s="3"/>
      <c r="F11" s="3">
        <f t="shared" ref="F11" si="30">C11+E11</f>
        <v>0</v>
      </c>
      <c r="G11" s="3"/>
      <c r="H11" s="61">
        <f t="shared" si="2"/>
        <v>0</v>
      </c>
      <c r="I11" s="60">
        <f t="shared" ref="I11" si="31">H11/24</f>
        <v>0</v>
      </c>
      <c r="J11" s="61" t="str">
        <f t="shared" ref="J11" si="32">IF(I11=0,"No Stock","Available")</f>
        <v>No Stock</v>
      </c>
      <c r="K11" s="16"/>
      <c r="L11" s="16"/>
      <c r="M11" s="77"/>
    </row>
    <row r="12" spans="1:15" ht="20.25" hidden="1" x14ac:dyDescent="0.25">
      <c r="A12" s="74">
        <v>9</v>
      </c>
      <c r="B12" s="140" t="s">
        <v>184</v>
      </c>
      <c r="C12" s="3">
        <v>0</v>
      </c>
      <c r="D12" s="3">
        <f t="shared" ref="D12" si="33">C12/24</f>
        <v>0</v>
      </c>
      <c r="E12" s="3"/>
      <c r="F12" s="3">
        <f t="shared" ref="F12" si="34">C12+E12</f>
        <v>0</v>
      </c>
      <c r="G12" s="3"/>
      <c r="H12" s="61">
        <f t="shared" si="2"/>
        <v>0</v>
      </c>
      <c r="I12" s="60">
        <f t="shared" ref="I12" si="35">H12/24</f>
        <v>0</v>
      </c>
      <c r="J12" s="61" t="str">
        <f t="shared" ref="J12" si="36">IF(I12=0,"No Stock","Available")</f>
        <v>No Stock</v>
      </c>
      <c r="K12" s="16"/>
      <c r="L12" s="16"/>
      <c r="M12" s="79"/>
    </row>
    <row r="13" spans="1:15" ht="20.25" hidden="1" x14ac:dyDescent="0.25">
      <c r="A13" s="74">
        <v>10</v>
      </c>
      <c r="B13" s="140" t="s">
        <v>185</v>
      </c>
      <c r="C13" s="3">
        <v>0</v>
      </c>
      <c r="D13" s="3">
        <f t="shared" ref="D13" si="37">C13/24</f>
        <v>0</v>
      </c>
      <c r="E13" s="3"/>
      <c r="F13" s="3">
        <f t="shared" ref="F13" si="38">C13+E13</f>
        <v>0</v>
      </c>
      <c r="G13" s="3"/>
      <c r="H13" s="61">
        <f t="shared" si="2"/>
        <v>0</v>
      </c>
      <c r="I13" s="60">
        <f t="shared" ref="I13" si="39">H13/24</f>
        <v>0</v>
      </c>
      <c r="J13" s="61" t="str">
        <f t="shared" ref="J13" si="40">IF(I13=0,"No Stock","Available")</f>
        <v>No Stock</v>
      </c>
      <c r="K13" s="16"/>
      <c r="L13" s="16"/>
      <c r="M13" s="77"/>
    </row>
    <row r="14" spans="1:15" ht="20.25" hidden="1" x14ac:dyDescent="0.25">
      <c r="A14" s="74">
        <v>11</v>
      </c>
      <c r="B14" s="140" t="s">
        <v>135</v>
      </c>
      <c r="C14" s="3">
        <v>0</v>
      </c>
      <c r="D14" s="3">
        <f t="shared" ref="D14:D15" si="41">C14/24</f>
        <v>0</v>
      </c>
      <c r="E14" s="3"/>
      <c r="F14" s="3">
        <f t="shared" ref="F14:F15" si="42">C14+E14</f>
        <v>0</v>
      </c>
      <c r="G14" s="3"/>
      <c r="H14" s="61">
        <f t="shared" si="2"/>
        <v>0</v>
      </c>
      <c r="I14" s="60">
        <f t="shared" ref="I14:I15" si="43">H14/24</f>
        <v>0</v>
      </c>
      <c r="J14" s="61" t="str">
        <f t="shared" ref="J14:J15" si="44">IF(I14=0,"No Stock","Available")</f>
        <v>No Stock</v>
      </c>
      <c r="K14" s="16"/>
      <c r="L14" s="16">
        <f t="shared" ref="L14:L15" si="45">H14*K14</f>
        <v>0</v>
      </c>
      <c r="M14" s="77"/>
    </row>
    <row r="15" spans="1:15" ht="20.25" x14ac:dyDescent="0.25">
      <c r="A15" s="74">
        <v>12</v>
      </c>
      <c r="B15" s="140" t="s">
        <v>134</v>
      </c>
      <c r="C15" s="3">
        <v>216</v>
      </c>
      <c r="D15" s="3">
        <f t="shared" si="41"/>
        <v>9</v>
      </c>
      <c r="E15" s="3"/>
      <c r="F15" s="3">
        <f t="shared" si="42"/>
        <v>216</v>
      </c>
      <c r="G15" s="3"/>
      <c r="H15" s="61">
        <f t="shared" si="2"/>
        <v>216</v>
      </c>
      <c r="I15" s="60">
        <f t="shared" si="43"/>
        <v>9</v>
      </c>
      <c r="J15" s="61" t="str">
        <f t="shared" si="44"/>
        <v>Available</v>
      </c>
      <c r="K15" s="16"/>
      <c r="L15" s="16">
        <f t="shared" si="45"/>
        <v>0</v>
      </c>
      <c r="M15" s="78"/>
    </row>
    <row r="16" spans="1:15" ht="20.25" x14ac:dyDescent="0.25">
      <c r="A16" s="74">
        <v>13</v>
      </c>
      <c r="B16" s="140" t="s">
        <v>137</v>
      </c>
      <c r="C16" s="3">
        <v>360</v>
      </c>
      <c r="D16" s="3">
        <f t="shared" ref="D16:D24" si="46">C16/24</f>
        <v>15</v>
      </c>
      <c r="E16" s="3"/>
      <c r="F16" s="3">
        <f t="shared" ref="F16:F27" si="47">C16+E16</f>
        <v>360</v>
      </c>
      <c r="G16" s="3"/>
      <c r="H16" s="61">
        <f t="shared" si="2"/>
        <v>360</v>
      </c>
      <c r="I16" s="60">
        <f t="shared" ref="I16:I24" si="48">H16/24</f>
        <v>15</v>
      </c>
      <c r="J16" s="61" t="str">
        <f t="shared" ref="J16:J24" si="49">IF(I16=0,"No Stock","Available")</f>
        <v>Available</v>
      </c>
      <c r="K16" s="16"/>
      <c r="L16" s="16"/>
      <c r="M16" s="78"/>
    </row>
    <row r="17" spans="1:13" ht="20.25" hidden="1" x14ac:dyDescent="0.25">
      <c r="A17" s="74">
        <v>14</v>
      </c>
      <c r="B17" s="140" t="s">
        <v>138</v>
      </c>
      <c r="C17" s="3">
        <v>0</v>
      </c>
      <c r="D17" s="3">
        <f t="shared" si="46"/>
        <v>0</v>
      </c>
      <c r="E17" s="3"/>
      <c r="F17" s="3">
        <f t="shared" si="47"/>
        <v>0</v>
      </c>
      <c r="G17" s="3"/>
      <c r="H17" s="61">
        <f t="shared" si="2"/>
        <v>0</v>
      </c>
      <c r="I17" s="60">
        <f t="shared" si="48"/>
        <v>0</v>
      </c>
      <c r="J17" s="61" t="str">
        <f t="shared" si="49"/>
        <v>No Stock</v>
      </c>
      <c r="K17" s="16"/>
      <c r="L17" s="16"/>
      <c r="M17" s="78"/>
    </row>
    <row r="18" spans="1:13" ht="20.25" hidden="1" x14ac:dyDescent="0.25">
      <c r="A18" s="74">
        <v>15</v>
      </c>
      <c r="B18" s="140" t="s">
        <v>132</v>
      </c>
      <c r="C18" s="3">
        <v>0</v>
      </c>
      <c r="D18" s="3">
        <f t="shared" si="46"/>
        <v>0</v>
      </c>
      <c r="E18" s="3"/>
      <c r="F18" s="3">
        <f t="shared" si="47"/>
        <v>0</v>
      </c>
      <c r="G18" s="3"/>
      <c r="H18" s="61">
        <f t="shared" si="2"/>
        <v>0</v>
      </c>
      <c r="I18" s="60">
        <f t="shared" si="48"/>
        <v>0</v>
      </c>
      <c r="J18" s="61" t="str">
        <f t="shared" si="49"/>
        <v>No Stock</v>
      </c>
      <c r="K18" s="16"/>
      <c r="L18" s="16"/>
      <c r="M18" s="78"/>
    </row>
    <row r="19" spans="1:13" ht="20.25" hidden="1" x14ac:dyDescent="0.25">
      <c r="A19" s="74">
        <v>16</v>
      </c>
      <c r="B19" s="140" t="s">
        <v>133</v>
      </c>
      <c r="C19" s="3">
        <v>0</v>
      </c>
      <c r="D19" s="3">
        <f t="shared" si="46"/>
        <v>0</v>
      </c>
      <c r="E19" s="3"/>
      <c r="F19" s="3">
        <f t="shared" si="47"/>
        <v>0</v>
      </c>
      <c r="G19" s="3"/>
      <c r="H19" s="61">
        <f t="shared" si="2"/>
        <v>0</v>
      </c>
      <c r="I19" s="60">
        <f t="shared" si="48"/>
        <v>0</v>
      </c>
      <c r="J19" s="61" t="str">
        <f t="shared" si="49"/>
        <v>No Stock</v>
      </c>
      <c r="K19" s="16"/>
      <c r="L19" s="16"/>
      <c r="M19" s="78"/>
    </row>
    <row r="20" spans="1:13" ht="20.25" hidden="1" x14ac:dyDescent="0.25">
      <c r="A20" s="74">
        <v>17</v>
      </c>
      <c r="B20" s="180" t="s">
        <v>54</v>
      </c>
      <c r="C20" s="178">
        <v>0</v>
      </c>
      <c r="D20" s="178">
        <f t="shared" si="46"/>
        <v>0</v>
      </c>
      <c r="E20" s="178"/>
      <c r="F20" s="3">
        <f t="shared" si="47"/>
        <v>0</v>
      </c>
      <c r="G20" s="3"/>
      <c r="H20" s="61">
        <f t="shared" si="2"/>
        <v>0</v>
      </c>
      <c r="I20" s="60">
        <f t="shared" si="48"/>
        <v>0</v>
      </c>
      <c r="J20" s="61" t="str">
        <f t="shared" si="49"/>
        <v>No Stock</v>
      </c>
      <c r="K20" s="16"/>
      <c r="L20" s="16"/>
      <c r="M20" s="78"/>
    </row>
    <row r="21" spans="1:13" ht="20.25" x14ac:dyDescent="0.25">
      <c r="A21" s="74">
        <v>18</v>
      </c>
      <c r="B21" s="148" t="s">
        <v>269</v>
      </c>
      <c r="C21" s="178">
        <v>0</v>
      </c>
      <c r="D21" s="178">
        <f t="shared" si="46"/>
        <v>0</v>
      </c>
      <c r="E21" s="147">
        <v>288</v>
      </c>
      <c r="F21" s="3">
        <f t="shared" si="47"/>
        <v>288</v>
      </c>
      <c r="G21" s="3"/>
      <c r="H21" s="61">
        <f t="shared" si="2"/>
        <v>288</v>
      </c>
      <c r="I21" s="60">
        <f t="shared" si="48"/>
        <v>12</v>
      </c>
      <c r="J21" s="61" t="str">
        <f t="shared" si="49"/>
        <v>Available</v>
      </c>
      <c r="K21" s="16"/>
      <c r="L21" s="16"/>
      <c r="M21" s="139"/>
    </row>
    <row r="22" spans="1:13" ht="20.25" x14ac:dyDescent="0.25">
      <c r="A22" s="74">
        <v>19</v>
      </c>
      <c r="B22" s="148" t="s">
        <v>270</v>
      </c>
      <c r="C22" s="178">
        <v>0</v>
      </c>
      <c r="D22" s="178">
        <f t="shared" si="46"/>
        <v>0</v>
      </c>
      <c r="E22" s="147">
        <v>240</v>
      </c>
      <c r="F22" s="3">
        <f t="shared" si="47"/>
        <v>240</v>
      </c>
      <c r="G22" s="3"/>
      <c r="H22" s="61">
        <f t="shared" si="2"/>
        <v>240</v>
      </c>
      <c r="I22" s="60">
        <f t="shared" si="48"/>
        <v>10</v>
      </c>
      <c r="J22" s="61" t="str">
        <f t="shared" si="49"/>
        <v>Available</v>
      </c>
      <c r="K22" s="16"/>
      <c r="L22" s="16"/>
      <c r="M22" s="78"/>
    </row>
    <row r="23" spans="1:13" ht="20.25" x14ac:dyDescent="0.25">
      <c r="A23" s="74">
        <v>20</v>
      </c>
      <c r="B23" s="148" t="s">
        <v>55</v>
      </c>
      <c r="C23" s="178">
        <v>0</v>
      </c>
      <c r="D23" s="178">
        <f t="shared" si="46"/>
        <v>0</v>
      </c>
      <c r="E23" s="147">
        <v>144</v>
      </c>
      <c r="F23" s="3">
        <f t="shared" si="47"/>
        <v>144</v>
      </c>
      <c r="G23" s="3"/>
      <c r="H23" s="61">
        <f t="shared" si="2"/>
        <v>144</v>
      </c>
      <c r="I23" s="60">
        <f t="shared" si="48"/>
        <v>6</v>
      </c>
      <c r="J23" s="61" t="str">
        <f t="shared" si="49"/>
        <v>Available</v>
      </c>
      <c r="K23" s="16"/>
      <c r="L23" s="16"/>
      <c r="M23" s="78"/>
    </row>
    <row r="24" spans="1:13" ht="20.25" x14ac:dyDescent="0.25">
      <c r="A24" s="74">
        <v>21</v>
      </c>
      <c r="B24" s="148" t="s">
        <v>56</v>
      </c>
      <c r="C24" s="178">
        <v>0</v>
      </c>
      <c r="D24" s="178">
        <f t="shared" si="46"/>
        <v>0</v>
      </c>
      <c r="E24" s="147">
        <f>168</f>
        <v>168</v>
      </c>
      <c r="F24" s="3">
        <f t="shared" si="47"/>
        <v>168</v>
      </c>
      <c r="G24" s="3"/>
      <c r="H24" s="61">
        <f t="shared" si="2"/>
        <v>168</v>
      </c>
      <c r="I24" s="60">
        <f t="shared" si="48"/>
        <v>7</v>
      </c>
      <c r="J24" s="61" t="str">
        <f t="shared" si="49"/>
        <v>Available</v>
      </c>
      <c r="K24" s="16"/>
      <c r="L24" s="16"/>
      <c r="M24" s="78"/>
    </row>
    <row r="25" spans="1:13" ht="20.25" hidden="1" x14ac:dyDescent="0.25">
      <c r="A25" s="74">
        <v>22</v>
      </c>
      <c r="B25" s="180" t="s">
        <v>311</v>
      </c>
      <c r="C25" s="178">
        <v>0</v>
      </c>
      <c r="D25" s="178">
        <f t="shared" ref="D25:D27" si="50">C25/24</f>
        <v>0</v>
      </c>
      <c r="E25" s="178"/>
      <c r="F25" s="3">
        <f t="shared" si="47"/>
        <v>0</v>
      </c>
      <c r="G25" s="3"/>
      <c r="H25" s="61">
        <f t="shared" ref="H25:H27" si="51">F25-G25</f>
        <v>0</v>
      </c>
      <c r="I25" s="60">
        <f t="shared" ref="I25:I27" si="52">H25/24</f>
        <v>0</v>
      </c>
      <c r="J25" s="61" t="str">
        <f t="shared" ref="J25:J27" si="53">IF(I25=0,"No Stock","Available")</f>
        <v>No Stock</v>
      </c>
      <c r="K25" s="16"/>
      <c r="L25" s="16"/>
      <c r="M25" s="78"/>
    </row>
    <row r="26" spans="1:13" ht="20.25" hidden="1" x14ac:dyDescent="0.25">
      <c r="A26" s="74">
        <v>23</v>
      </c>
      <c r="B26" s="180" t="s">
        <v>312</v>
      </c>
      <c r="C26" s="178">
        <v>0</v>
      </c>
      <c r="D26" s="178">
        <f t="shared" si="50"/>
        <v>0</v>
      </c>
      <c r="E26" s="178"/>
      <c r="F26" s="3">
        <f t="shared" si="47"/>
        <v>0</v>
      </c>
      <c r="G26" s="3"/>
      <c r="H26" s="61">
        <f t="shared" si="51"/>
        <v>0</v>
      </c>
      <c r="I26" s="60">
        <f t="shared" si="52"/>
        <v>0</v>
      </c>
      <c r="J26" s="61" t="str">
        <f t="shared" si="53"/>
        <v>No Stock</v>
      </c>
      <c r="K26" s="16"/>
      <c r="L26" s="16"/>
      <c r="M26" s="78"/>
    </row>
    <row r="27" spans="1:13" ht="20.25" hidden="1" x14ac:dyDescent="0.25">
      <c r="A27" s="74">
        <v>24</v>
      </c>
      <c r="B27" s="180" t="s">
        <v>313</v>
      </c>
      <c r="C27" s="178">
        <v>0</v>
      </c>
      <c r="D27" s="178">
        <f t="shared" si="50"/>
        <v>0</v>
      </c>
      <c r="E27" s="178"/>
      <c r="F27" s="3">
        <f t="shared" si="47"/>
        <v>0</v>
      </c>
      <c r="G27" s="3"/>
      <c r="H27" s="61">
        <f t="shared" si="51"/>
        <v>0</v>
      </c>
      <c r="I27" s="60">
        <f t="shared" si="52"/>
        <v>0</v>
      </c>
      <c r="J27" s="61" t="str">
        <f t="shared" si="53"/>
        <v>No Stock</v>
      </c>
      <c r="K27" s="16"/>
      <c r="L27" s="16"/>
      <c r="M27" s="78"/>
    </row>
    <row r="28" spans="1:13" ht="20.25" hidden="1" x14ac:dyDescent="0.25">
      <c r="A28" s="74">
        <v>25</v>
      </c>
      <c r="B28" s="140" t="s">
        <v>191</v>
      </c>
      <c r="C28" s="3">
        <v>0</v>
      </c>
      <c r="D28" s="3">
        <f t="shared" ref="D28" si="54">C28/24</f>
        <v>0</v>
      </c>
      <c r="E28" s="3"/>
      <c r="F28" s="3">
        <f t="shared" ref="F28" si="55">C28+E28</f>
        <v>0</v>
      </c>
      <c r="G28" s="3"/>
      <c r="H28" s="61">
        <f t="shared" si="2"/>
        <v>0</v>
      </c>
      <c r="I28" s="60">
        <f t="shared" ref="I28" si="56">H28/24</f>
        <v>0</v>
      </c>
      <c r="J28" s="61" t="str">
        <f t="shared" ref="J28" si="57">IF(I28=0,"No Stock","Available")</f>
        <v>No Stock</v>
      </c>
      <c r="K28" s="16"/>
      <c r="L28" s="16"/>
      <c r="M28" s="78"/>
    </row>
    <row r="29" spans="1:13" ht="20.25" hidden="1" x14ac:dyDescent="0.25">
      <c r="A29" s="74">
        <v>26</v>
      </c>
      <c r="B29" s="140" t="s">
        <v>192</v>
      </c>
      <c r="C29" s="3">
        <v>0</v>
      </c>
      <c r="D29" s="3">
        <f t="shared" ref="D29" si="58">C29/24</f>
        <v>0</v>
      </c>
      <c r="E29" s="3"/>
      <c r="F29" s="3">
        <f t="shared" ref="F29" si="59">C29+E29</f>
        <v>0</v>
      </c>
      <c r="G29" s="3"/>
      <c r="H29" s="61">
        <f t="shared" si="2"/>
        <v>0</v>
      </c>
      <c r="I29" s="60">
        <f t="shared" ref="I29" si="60">H29/24</f>
        <v>0</v>
      </c>
      <c r="J29" s="61" t="str">
        <f t="shared" ref="J29" si="61">IF(I29=0,"No Stock","Available")</f>
        <v>No Stock</v>
      </c>
      <c r="K29" s="16"/>
      <c r="L29" s="16"/>
      <c r="M29" s="78"/>
    </row>
    <row r="30" spans="1:13" ht="20.25" hidden="1" x14ac:dyDescent="0.25">
      <c r="A30" s="74">
        <v>27</v>
      </c>
      <c r="B30" s="140" t="s">
        <v>205</v>
      </c>
      <c r="C30" s="3">
        <v>0</v>
      </c>
      <c r="D30" s="3">
        <f t="shared" ref="D30:D62" si="62">C30/24</f>
        <v>0</v>
      </c>
      <c r="E30" s="3"/>
      <c r="F30" s="3">
        <f t="shared" ref="F30:F62" si="63">C30+E30</f>
        <v>0</v>
      </c>
      <c r="G30" s="3"/>
      <c r="H30" s="61">
        <f t="shared" si="2"/>
        <v>0</v>
      </c>
      <c r="I30" s="60">
        <f t="shared" ref="I30:I48" si="64">H30/24</f>
        <v>0</v>
      </c>
      <c r="J30" s="61" t="str">
        <f t="shared" ref="J30:J62" si="65">IF(I30=0,"No Stock","Available")</f>
        <v>No Stock</v>
      </c>
      <c r="K30" s="16"/>
      <c r="L30" s="16"/>
      <c r="M30" s="78"/>
    </row>
    <row r="31" spans="1:13" ht="20.25" hidden="1" x14ac:dyDescent="0.25">
      <c r="A31" s="74">
        <v>28</v>
      </c>
      <c r="B31" s="140" t="s">
        <v>57</v>
      </c>
      <c r="C31" s="3">
        <v>0</v>
      </c>
      <c r="D31" s="3">
        <f t="shared" si="62"/>
        <v>0</v>
      </c>
      <c r="E31" s="3"/>
      <c r="F31" s="3">
        <f t="shared" si="63"/>
        <v>0</v>
      </c>
      <c r="G31" s="3"/>
      <c r="H31" s="61">
        <f t="shared" si="2"/>
        <v>0</v>
      </c>
      <c r="I31" s="60">
        <f t="shared" si="64"/>
        <v>0</v>
      </c>
      <c r="J31" s="61" t="str">
        <f t="shared" si="65"/>
        <v>No Stock</v>
      </c>
      <c r="K31" s="16"/>
      <c r="L31" s="16"/>
      <c r="M31" s="78"/>
    </row>
    <row r="32" spans="1:13" ht="20.25" hidden="1" x14ac:dyDescent="0.25">
      <c r="A32" s="74">
        <v>29</v>
      </c>
      <c r="B32" s="140" t="s">
        <v>303</v>
      </c>
      <c r="C32" s="3">
        <v>0</v>
      </c>
      <c r="D32" s="3">
        <f t="shared" si="62"/>
        <v>0</v>
      </c>
      <c r="E32" s="3"/>
      <c r="F32" s="3">
        <f t="shared" si="63"/>
        <v>0</v>
      </c>
      <c r="G32" s="3"/>
      <c r="H32" s="61">
        <f t="shared" si="2"/>
        <v>0</v>
      </c>
      <c r="I32" s="60">
        <f t="shared" si="64"/>
        <v>0</v>
      </c>
      <c r="J32" s="61" t="str">
        <f t="shared" si="65"/>
        <v>No Stock</v>
      </c>
      <c r="K32" s="16"/>
      <c r="L32" s="16"/>
      <c r="M32" s="78"/>
    </row>
    <row r="33" spans="1:13" ht="20.25" hidden="1" x14ac:dyDescent="0.25">
      <c r="A33" s="74">
        <v>30</v>
      </c>
      <c r="B33" s="140" t="s">
        <v>304</v>
      </c>
      <c r="C33" s="3">
        <v>0</v>
      </c>
      <c r="D33" s="3">
        <f t="shared" si="62"/>
        <v>0</v>
      </c>
      <c r="E33" s="3"/>
      <c r="F33" s="3">
        <f t="shared" si="63"/>
        <v>0</v>
      </c>
      <c r="G33" s="3"/>
      <c r="H33" s="61">
        <f t="shared" si="2"/>
        <v>0</v>
      </c>
      <c r="I33" s="60">
        <f t="shared" si="64"/>
        <v>0</v>
      </c>
      <c r="J33" s="61" t="str">
        <f t="shared" si="65"/>
        <v>No Stock</v>
      </c>
      <c r="K33" s="16"/>
      <c r="L33" s="16"/>
      <c r="M33" s="78"/>
    </row>
    <row r="34" spans="1:13" ht="20.25" hidden="1" x14ac:dyDescent="0.25">
      <c r="A34" s="74">
        <v>31</v>
      </c>
      <c r="B34" s="140" t="s">
        <v>180</v>
      </c>
      <c r="C34" s="3">
        <v>0</v>
      </c>
      <c r="D34" s="3">
        <f t="shared" si="62"/>
        <v>0</v>
      </c>
      <c r="E34" s="3"/>
      <c r="F34" s="3">
        <f t="shared" si="63"/>
        <v>0</v>
      </c>
      <c r="G34" s="3"/>
      <c r="H34" s="61">
        <f t="shared" si="2"/>
        <v>0</v>
      </c>
      <c r="I34" s="60">
        <f t="shared" si="64"/>
        <v>0</v>
      </c>
      <c r="J34" s="61" t="str">
        <f t="shared" si="65"/>
        <v>No Stock</v>
      </c>
      <c r="K34" s="16"/>
      <c r="L34" s="16"/>
      <c r="M34" s="78"/>
    </row>
    <row r="35" spans="1:13" ht="20.25" hidden="1" x14ac:dyDescent="0.25">
      <c r="A35" s="74">
        <v>32</v>
      </c>
      <c r="B35" s="140" t="s">
        <v>178</v>
      </c>
      <c r="C35" s="3">
        <v>0</v>
      </c>
      <c r="D35" s="3">
        <f t="shared" si="62"/>
        <v>0</v>
      </c>
      <c r="E35" s="3"/>
      <c r="F35" s="3">
        <f t="shared" si="63"/>
        <v>0</v>
      </c>
      <c r="G35" s="3"/>
      <c r="H35" s="61">
        <f t="shared" si="2"/>
        <v>0</v>
      </c>
      <c r="I35" s="60">
        <f t="shared" si="64"/>
        <v>0</v>
      </c>
      <c r="J35" s="61" t="str">
        <f t="shared" si="65"/>
        <v>No Stock</v>
      </c>
      <c r="K35" s="16"/>
      <c r="L35" s="16"/>
      <c r="M35" s="78"/>
    </row>
    <row r="36" spans="1:13" ht="20.25" hidden="1" x14ac:dyDescent="0.25">
      <c r="A36" s="74">
        <v>33</v>
      </c>
      <c r="B36" s="140" t="s">
        <v>179</v>
      </c>
      <c r="C36" s="3">
        <v>0</v>
      </c>
      <c r="D36" s="3">
        <f t="shared" si="62"/>
        <v>0</v>
      </c>
      <c r="E36" s="3"/>
      <c r="F36" s="3">
        <f t="shared" si="63"/>
        <v>0</v>
      </c>
      <c r="G36" s="3"/>
      <c r="H36" s="61">
        <f t="shared" si="2"/>
        <v>0</v>
      </c>
      <c r="I36" s="60">
        <f t="shared" si="64"/>
        <v>0</v>
      </c>
      <c r="J36" s="61" t="str">
        <f t="shared" si="65"/>
        <v>No Stock</v>
      </c>
      <c r="K36" s="16"/>
      <c r="L36" s="16"/>
      <c r="M36" s="78"/>
    </row>
    <row r="37" spans="1:13" ht="20.25" hidden="1" x14ac:dyDescent="0.25">
      <c r="A37" s="74">
        <v>34</v>
      </c>
      <c r="B37" s="140" t="s">
        <v>58</v>
      </c>
      <c r="C37" s="3">
        <v>0</v>
      </c>
      <c r="D37" s="3">
        <f t="shared" si="62"/>
        <v>0</v>
      </c>
      <c r="E37" s="3"/>
      <c r="F37" s="3">
        <f t="shared" si="63"/>
        <v>0</v>
      </c>
      <c r="G37" s="3"/>
      <c r="H37" s="61">
        <f t="shared" si="2"/>
        <v>0</v>
      </c>
      <c r="I37" s="60">
        <f t="shared" si="64"/>
        <v>0</v>
      </c>
      <c r="J37" s="61" t="str">
        <f t="shared" si="65"/>
        <v>No Stock</v>
      </c>
      <c r="K37" s="16"/>
      <c r="L37" s="16"/>
      <c r="M37" s="78"/>
    </row>
    <row r="38" spans="1:13" ht="20.25" hidden="1" x14ac:dyDescent="0.25">
      <c r="A38" s="74">
        <v>35</v>
      </c>
      <c r="B38" s="140" t="s">
        <v>59</v>
      </c>
      <c r="C38" s="3">
        <v>0</v>
      </c>
      <c r="D38" s="3">
        <f t="shared" si="62"/>
        <v>0</v>
      </c>
      <c r="E38" s="3"/>
      <c r="F38" s="3">
        <f t="shared" si="63"/>
        <v>0</v>
      </c>
      <c r="G38" s="3"/>
      <c r="H38" s="61">
        <f t="shared" si="2"/>
        <v>0</v>
      </c>
      <c r="I38" s="60">
        <f t="shared" si="64"/>
        <v>0</v>
      </c>
      <c r="J38" s="61" t="str">
        <f t="shared" si="65"/>
        <v>No Stock</v>
      </c>
      <c r="K38" s="16"/>
      <c r="L38" s="16"/>
      <c r="M38" s="78"/>
    </row>
    <row r="39" spans="1:13" ht="20.25" hidden="1" x14ac:dyDescent="0.25">
      <c r="A39" s="74">
        <v>36</v>
      </c>
      <c r="B39" s="180" t="s">
        <v>61</v>
      </c>
      <c r="C39" s="178">
        <v>0</v>
      </c>
      <c r="D39" s="178">
        <f t="shared" si="62"/>
        <v>0</v>
      </c>
      <c r="E39" s="178"/>
      <c r="F39" s="3">
        <f t="shared" si="63"/>
        <v>0</v>
      </c>
      <c r="G39" s="3"/>
      <c r="H39" s="61">
        <f t="shared" si="2"/>
        <v>0</v>
      </c>
      <c r="I39" s="60">
        <f t="shared" si="64"/>
        <v>0</v>
      </c>
      <c r="J39" s="61" t="str">
        <f t="shared" si="65"/>
        <v>No Stock</v>
      </c>
      <c r="K39" s="16"/>
      <c r="L39" s="16"/>
      <c r="M39" s="78"/>
    </row>
    <row r="40" spans="1:13" ht="20.25" hidden="1" x14ac:dyDescent="0.25">
      <c r="A40" s="74">
        <v>37</v>
      </c>
      <c r="B40" s="180" t="s">
        <v>62</v>
      </c>
      <c r="C40" s="178">
        <v>0</v>
      </c>
      <c r="D40" s="178">
        <f t="shared" si="62"/>
        <v>0</v>
      </c>
      <c r="E40" s="178"/>
      <c r="F40" s="3">
        <f t="shared" si="63"/>
        <v>0</v>
      </c>
      <c r="G40" s="3"/>
      <c r="H40" s="61">
        <f>F40-G40</f>
        <v>0</v>
      </c>
      <c r="I40" s="60">
        <f t="shared" si="64"/>
        <v>0</v>
      </c>
      <c r="J40" s="61" t="str">
        <f t="shared" si="65"/>
        <v>No Stock</v>
      </c>
      <c r="K40" s="16"/>
      <c r="L40" s="16"/>
      <c r="M40" s="78"/>
    </row>
    <row r="41" spans="1:13" ht="20.25" hidden="1" x14ac:dyDescent="0.25">
      <c r="A41" s="74">
        <v>38</v>
      </c>
      <c r="B41" s="180" t="s">
        <v>60</v>
      </c>
      <c r="C41" s="178">
        <v>0</v>
      </c>
      <c r="D41" s="178">
        <f t="shared" si="62"/>
        <v>0</v>
      </c>
      <c r="E41" s="178"/>
      <c r="F41" s="3">
        <f t="shared" si="63"/>
        <v>0</v>
      </c>
      <c r="G41" s="3"/>
      <c r="H41" s="61">
        <f t="shared" ref="H41:H71" si="66">F41-G41</f>
        <v>0</v>
      </c>
      <c r="I41" s="60">
        <f t="shared" si="64"/>
        <v>0</v>
      </c>
      <c r="J41" s="61" t="str">
        <f t="shared" si="65"/>
        <v>No Stock</v>
      </c>
      <c r="K41" s="16"/>
      <c r="L41" s="16"/>
      <c r="M41" s="78"/>
    </row>
    <row r="42" spans="1:13" ht="20.25" hidden="1" x14ac:dyDescent="0.25">
      <c r="A42" s="74">
        <v>39</v>
      </c>
      <c r="B42" s="180" t="s">
        <v>267</v>
      </c>
      <c r="C42" s="178">
        <v>0</v>
      </c>
      <c r="D42" s="178">
        <f t="shared" si="62"/>
        <v>0</v>
      </c>
      <c r="E42" s="178"/>
      <c r="F42" s="3">
        <f t="shared" si="63"/>
        <v>0</v>
      </c>
      <c r="G42" s="3"/>
      <c r="H42" s="61">
        <f t="shared" si="66"/>
        <v>0</v>
      </c>
      <c r="I42" s="60">
        <f t="shared" si="64"/>
        <v>0</v>
      </c>
      <c r="J42" s="61" t="str">
        <f t="shared" si="65"/>
        <v>No Stock</v>
      </c>
      <c r="K42" s="16"/>
      <c r="L42" s="16"/>
      <c r="M42" s="78"/>
    </row>
    <row r="43" spans="1:13" ht="20.25" hidden="1" x14ac:dyDescent="0.25">
      <c r="A43" s="74">
        <v>40</v>
      </c>
      <c r="B43" s="140" t="s">
        <v>274</v>
      </c>
      <c r="C43" s="3">
        <v>0</v>
      </c>
      <c r="D43" s="3">
        <f t="shared" si="62"/>
        <v>0</v>
      </c>
      <c r="E43" s="3"/>
      <c r="F43" s="3">
        <f t="shared" si="63"/>
        <v>0</v>
      </c>
      <c r="G43" s="3"/>
      <c r="H43" s="61">
        <f t="shared" si="66"/>
        <v>0</v>
      </c>
      <c r="I43" s="60">
        <f t="shared" ref="I43:I46" si="67">H43/24</f>
        <v>0</v>
      </c>
      <c r="J43" s="61" t="str">
        <f t="shared" ref="J43:J46" si="68">IF(I43=0,"No Stock","Available")</f>
        <v>No Stock</v>
      </c>
      <c r="K43" s="16"/>
      <c r="L43" s="16"/>
      <c r="M43" s="78"/>
    </row>
    <row r="44" spans="1:13" ht="20.25" hidden="1" x14ac:dyDescent="0.25">
      <c r="A44" s="74">
        <v>41</v>
      </c>
      <c r="B44" s="140" t="s">
        <v>275</v>
      </c>
      <c r="C44" s="3">
        <v>0</v>
      </c>
      <c r="D44" s="3">
        <f t="shared" si="62"/>
        <v>0</v>
      </c>
      <c r="E44" s="3"/>
      <c r="F44" s="3">
        <f t="shared" si="63"/>
        <v>0</v>
      </c>
      <c r="G44" s="3"/>
      <c r="H44" s="61">
        <f t="shared" si="66"/>
        <v>0</v>
      </c>
      <c r="I44" s="60">
        <f t="shared" si="67"/>
        <v>0</v>
      </c>
      <c r="J44" s="61" t="str">
        <f t="shared" si="68"/>
        <v>No Stock</v>
      </c>
      <c r="K44" s="16"/>
      <c r="L44" s="16"/>
      <c r="M44" s="78"/>
    </row>
    <row r="45" spans="1:13" ht="20.25" hidden="1" x14ac:dyDescent="0.25">
      <c r="A45" s="74">
        <v>42</v>
      </c>
      <c r="B45" s="140" t="s">
        <v>276</v>
      </c>
      <c r="C45" s="3">
        <v>0</v>
      </c>
      <c r="D45" s="3">
        <f t="shared" si="62"/>
        <v>0</v>
      </c>
      <c r="E45" s="3"/>
      <c r="F45" s="3">
        <f t="shared" si="63"/>
        <v>0</v>
      </c>
      <c r="G45" s="3"/>
      <c r="H45" s="61">
        <f t="shared" si="66"/>
        <v>0</v>
      </c>
      <c r="I45" s="60">
        <f t="shared" si="67"/>
        <v>0</v>
      </c>
      <c r="J45" s="61" t="str">
        <f t="shared" si="68"/>
        <v>No Stock</v>
      </c>
      <c r="K45" s="16"/>
      <c r="L45" s="16"/>
      <c r="M45" s="78"/>
    </row>
    <row r="46" spans="1:13" ht="20.25" hidden="1" x14ac:dyDescent="0.25">
      <c r="A46" s="74">
        <v>43</v>
      </c>
      <c r="B46" s="180" t="s">
        <v>277</v>
      </c>
      <c r="C46" s="178">
        <v>0</v>
      </c>
      <c r="D46" s="178">
        <f t="shared" si="62"/>
        <v>0</v>
      </c>
      <c r="E46" s="178"/>
      <c r="F46" s="3">
        <f t="shared" si="63"/>
        <v>0</v>
      </c>
      <c r="G46" s="3"/>
      <c r="H46" s="61">
        <f t="shared" si="66"/>
        <v>0</v>
      </c>
      <c r="I46" s="60">
        <f t="shared" si="67"/>
        <v>0</v>
      </c>
      <c r="J46" s="61" t="str">
        <f t="shared" si="68"/>
        <v>No Stock</v>
      </c>
      <c r="K46" s="16"/>
      <c r="L46" s="16"/>
      <c r="M46" s="78"/>
    </row>
    <row r="47" spans="1:13" ht="20.25" x14ac:dyDescent="0.25">
      <c r="A47" s="74">
        <v>44</v>
      </c>
      <c r="B47" s="148" t="s">
        <v>309</v>
      </c>
      <c r="C47" s="178">
        <v>96</v>
      </c>
      <c r="D47" s="178">
        <f t="shared" si="62"/>
        <v>4</v>
      </c>
      <c r="E47" s="147">
        <v>72</v>
      </c>
      <c r="F47" s="3">
        <f t="shared" si="63"/>
        <v>168</v>
      </c>
      <c r="G47" s="3"/>
      <c r="H47" s="61">
        <f t="shared" si="66"/>
        <v>168</v>
      </c>
      <c r="I47" s="60">
        <f t="shared" si="64"/>
        <v>7</v>
      </c>
      <c r="J47" s="61" t="str">
        <f t="shared" si="65"/>
        <v>Available</v>
      </c>
      <c r="K47" s="16"/>
      <c r="L47" s="16"/>
      <c r="M47" s="78"/>
    </row>
    <row r="48" spans="1:13" ht="20.25" x14ac:dyDescent="0.25">
      <c r="A48" s="74">
        <v>45</v>
      </c>
      <c r="B48" s="148" t="s">
        <v>332</v>
      </c>
      <c r="C48" s="178">
        <v>0</v>
      </c>
      <c r="D48" s="178">
        <f t="shared" si="62"/>
        <v>0</v>
      </c>
      <c r="E48" s="147">
        <v>240</v>
      </c>
      <c r="F48" s="3">
        <f t="shared" si="63"/>
        <v>240</v>
      </c>
      <c r="G48" s="3"/>
      <c r="H48" s="61">
        <f t="shared" si="66"/>
        <v>240</v>
      </c>
      <c r="I48" s="60">
        <f t="shared" si="64"/>
        <v>10</v>
      </c>
      <c r="J48" s="61" t="str">
        <f t="shared" si="65"/>
        <v>Available</v>
      </c>
      <c r="K48" s="16"/>
      <c r="L48" s="16"/>
      <c r="M48" s="78"/>
    </row>
    <row r="49" spans="1:13" ht="20.25" x14ac:dyDescent="0.25">
      <c r="A49" s="74">
        <v>46</v>
      </c>
      <c r="B49" s="148" t="s">
        <v>63</v>
      </c>
      <c r="C49" s="178">
        <v>0</v>
      </c>
      <c r="D49" s="178">
        <f t="shared" si="62"/>
        <v>0</v>
      </c>
      <c r="E49" s="147">
        <v>216</v>
      </c>
      <c r="F49" s="3">
        <f t="shared" si="63"/>
        <v>216</v>
      </c>
      <c r="G49" s="3"/>
      <c r="H49" s="61">
        <f t="shared" si="66"/>
        <v>216</v>
      </c>
      <c r="I49" s="60">
        <f>H49/24</f>
        <v>9</v>
      </c>
      <c r="J49" s="61" t="str">
        <f t="shared" si="65"/>
        <v>Available</v>
      </c>
      <c r="K49" s="16"/>
      <c r="L49" s="16"/>
      <c r="M49" s="78"/>
    </row>
    <row r="50" spans="1:13" ht="20.25" hidden="1" x14ac:dyDescent="0.25">
      <c r="A50" s="74">
        <v>47</v>
      </c>
      <c r="B50" s="180" t="s">
        <v>330</v>
      </c>
      <c r="C50" s="178">
        <v>0</v>
      </c>
      <c r="D50" s="178">
        <f t="shared" si="62"/>
        <v>0</v>
      </c>
      <c r="E50" s="178"/>
      <c r="F50" s="3">
        <f t="shared" si="63"/>
        <v>0</v>
      </c>
      <c r="G50" s="3"/>
      <c r="H50" s="61">
        <f t="shared" ref="H50:H51" si="69">F50-G50</f>
        <v>0</v>
      </c>
      <c r="I50" s="60">
        <f t="shared" ref="I50:I51" si="70">H50/24</f>
        <v>0</v>
      </c>
      <c r="J50" s="61" t="str">
        <f t="shared" ref="J50:J51" si="71">IF(I50=0,"No Stock","Available")</f>
        <v>No Stock</v>
      </c>
      <c r="K50" s="16"/>
      <c r="L50" s="16"/>
      <c r="M50" s="78"/>
    </row>
    <row r="51" spans="1:13" ht="20.25" hidden="1" x14ac:dyDescent="0.25">
      <c r="A51" s="74">
        <v>48</v>
      </c>
      <c r="B51" s="140" t="s">
        <v>331</v>
      </c>
      <c r="C51" s="3">
        <v>0</v>
      </c>
      <c r="D51" s="3">
        <f t="shared" si="62"/>
        <v>0</v>
      </c>
      <c r="E51" s="3"/>
      <c r="F51" s="3">
        <f t="shared" si="63"/>
        <v>0</v>
      </c>
      <c r="G51" s="3"/>
      <c r="H51" s="61">
        <f t="shared" si="69"/>
        <v>0</v>
      </c>
      <c r="I51" s="60">
        <f t="shared" si="70"/>
        <v>0</v>
      </c>
      <c r="J51" s="61" t="str">
        <f t="shared" si="71"/>
        <v>No Stock</v>
      </c>
      <c r="K51" s="16"/>
      <c r="L51" s="16"/>
      <c r="M51" s="78"/>
    </row>
    <row r="52" spans="1:13" ht="20.25" hidden="1" x14ac:dyDescent="0.25">
      <c r="A52" s="74">
        <v>49</v>
      </c>
      <c r="B52" s="140" t="s">
        <v>64</v>
      </c>
      <c r="C52" s="3">
        <v>0</v>
      </c>
      <c r="D52" s="3">
        <f t="shared" si="62"/>
        <v>0</v>
      </c>
      <c r="E52" s="3"/>
      <c r="F52" s="3">
        <f t="shared" si="63"/>
        <v>0</v>
      </c>
      <c r="G52" s="3"/>
      <c r="H52" s="61">
        <f t="shared" si="66"/>
        <v>0</v>
      </c>
      <c r="I52" s="60">
        <f>H52/24</f>
        <v>0</v>
      </c>
      <c r="J52" s="61" t="str">
        <f t="shared" si="65"/>
        <v>No Stock</v>
      </c>
      <c r="K52" s="16"/>
      <c r="L52" s="16"/>
      <c r="M52" s="78"/>
    </row>
    <row r="53" spans="1:13" ht="20.25" hidden="1" x14ac:dyDescent="0.25">
      <c r="A53" s="74">
        <v>50</v>
      </c>
      <c r="B53" s="140" t="s">
        <v>273</v>
      </c>
      <c r="C53" s="3">
        <v>0</v>
      </c>
      <c r="D53" s="3">
        <f t="shared" si="62"/>
        <v>0</v>
      </c>
      <c r="E53" s="3"/>
      <c r="F53" s="3">
        <f t="shared" si="63"/>
        <v>0</v>
      </c>
      <c r="G53" s="3"/>
      <c r="H53" s="61">
        <f t="shared" si="66"/>
        <v>0</v>
      </c>
      <c r="I53" s="60">
        <f t="shared" ref="I53:I62" si="72">H53/24</f>
        <v>0</v>
      </c>
      <c r="J53" s="61" t="str">
        <f t="shared" si="65"/>
        <v>No Stock</v>
      </c>
      <c r="K53" s="16"/>
      <c r="L53" s="16"/>
      <c r="M53" s="78"/>
    </row>
    <row r="54" spans="1:13" ht="20.25" hidden="1" x14ac:dyDescent="0.25">
      <c r="A54" s="74">
        <v>51</v>
      </c>
      <c r="B54" s="140" t="s">
        <v>65</v>
      </c>
      <c r="C54" s="3">
        <v>0</v>
      </c>
      <c r="D54" s="3">
        <f t="shared" si="62"/>
        <v>0</v>
      </c>
      <c r="E54" s="3"/>
      <c r="F54" s="3">
        <f t="shared" si="63"/>
        <v>0</v>
      </c>
      <c r="G54" s="3"/>
      <c r="H54" s="61">
        <f t="shared" si="66"/>
        <v>0</v>
      </c>
      <c r="I54" s="60">
        <f t="shared" si="72"/>
        <v>0</v>
      </c>
      <c r="J54" s="61" t="str">
        <f t="shared" si="65"/>
        <v>No Stock</v>
      </c>
      <c r="K54" s="16"/>
      <c r="L54" s="16"/>
      <c r="M54" s="78"/>
    </row>
    <row r="55" spans="1:13" ht="20.25" hidden="1" x14ac:dyDescent="0.25">
      <c r="A55" s="74">
        <v>52</v>
      </c>
      <c r="B55" s="140" t="s">
        <v>66</v>
      </c>
      <c r="C55" s="3">
        <v>0</v>
      </c>
      <c r="D55" s="3">
        <f t="shared" si="62"/>
        <v>0</v>
      </c>
      <c r="E55" s="3"/>
      <c r="F55" s="3">
        <f t="shared" si="63"/>
        <v>0</v>
      </c>
      <c r="G55" s="3"/>
      <c r="H55" s="61">
        <f t="shared" si="66"/>
        <v>0</v>
      </c>
      <c r="I55" s="60">
        <f t="shared" si="72"/>
        <v>0</v>
      </c>
      <c r="J55" s="61" t="str">
        <f t="shared" si="65"/>
        <v>No Stock</v>
      </c>
      <c r="K55" s="16"/>
      <c r="L55" s="16"/>
      <c r="M55" s="78"/>
    </row>
    <row r="56" spans="1:13" ht="20.25" hidden="1" x14ac:dyDescent="0.25">
      <c r="A56" s="74">
        <v>53</v>
      </c>
      <c r="B56" s="140" t="s">
        <v>67</v>
      </c>
      <c r="C56" s="3">
        <v>0</v>
      </c>
      <c r="D56" s="3">
        <f t="shared" si="62"/>
        <v>0</v>
      </c>
      <c r="E56" s="3"/>
      <c r="F56" s="3">
        <f t="shared" si="63"/>
        <v>0</v>
      </c>
      <c r="G56" s="3"/>
      <c r="H56" s="61">
        <f t="shared" si="66"/>
        <v>0</v>
      </c>
      <c r="I56" s="60">
        <f t="shared" si="72"/>
        <v>0</v>
      </c>
      <c r="J56" s="61" t="str">
        <f t="shared" si="65"/>
        <v>No Stock</v>
      </c>
      <c r="K56" s="16"/>
      <c r="L56" s="16"/>
      <c r="M56" s="78"/>
    </row>
    <row r="57" spans="1:13" ht="20.25" hidden="1" x14ac:dyDescent="0.25">
      <c r="A57" s="74">
        <v>54</v>
      </c>
      <c r="B57" s="140" t="s">
        <v>204</v>
      </c>
      <c r="C57" s="3">
        <v>0</v>
      </c>
      <c r="D57" s="3">
        <f t="shared" si="62"/>
        <v>0</v>
      </c>
      <c r="E57" s="3"/>
      <c r="F57" s="3">
        <f t="shared" si="63"/>
        <v>0</v>
      </c>
      <c r="G57" s="3"/>
      <c r="H57" s="61">
        <f t="shared" si="66"/>
        <v>0</v>
      </c>
      <c r="I57" s="60">
        <f t="shared" si="72"/>
        <v>0</v>
      </c>
      <c r="J57" s="61" t="str">
        <f t="shared" si="65"/>
        <v>No Stock</v>
      </c>
      <c r="K57" s="16"/>
      <c r="L57" s="16"/>
      <c r="M57" s="78"/>
    </row>
    <row r="58" spans="1:13" ht="20.25" hidden="1" x14ac:dyDescent="0.25">
      <c r="A58" s="74">
        <v>55</v>
      </c>
      <c r="B58" s="140" t="s">
        <v>68</v>
      </c>
      <c r="C58" s="3">
        <v>0</v>
      </c>
      <c r="D58" s="3">
        <f t="shared" si="62"/>
        <v>0</v>
      </c>
      <c r="E58" s="3"/>
      <c r="F58" s="3">
        <f t="shared" si="63"/>
        <v>0</v>
      </c>
      <c r="G58" s="3"/>
      <c r="H58" s="61">
        <f t="shared" si="66"/>
        <v>0</v>
      </c>
      <c r="I58" s="60">
        <f t="shared" si="72"/>
        <v>0</v>
      </c>
      <c r="J58" s="61" t="str">
        <f t="shared" si="65"/>
        <v>No Stock</v>
      </c>
      <c r="K58" s="16"/>
      <c r="L58" s="16"/>
      <c r="M58" s="78"/>
    </row>
    <row r="59" spans="1:13" ht="20.25" hidden="1" x14ac:dyDescent="0.25">
      <c r="A59" s="74">
        <v>56</v>
      </c>
      <c r="B59" s="140" t="s">
        <v>69</v>
      </c>
      <c r="C59" s="3">
        <v>0</v>
      </c>
      <c r="D59" s="3">
        <f t="shared" si="62"/>
        <v>0</v>
      </c>
      <c r="E59" s="3"/>
      <c r="F59" s="3">
        <f t="shared" si="63"/>
        <v>0</v>
      </c>
      <c r="G59" s="3"/>
      <c r="H59" s="61">
        <f t="shared" si="66"/>
        <v>0</v>
      </c>
      <c r="I59" s="60">
        <f t="shared" si="72"/>
        <v>0</v>
      </c>
      <c r="J59" s="61" t="str">
        <f t="shared" si="65"/>
        <v>No Stock</v>
      </c>
      <c r="K59" s="16"/>
      <c r="L59" s="16"/>
      <c r="M59" s="78"/>
    </row>
    <row r="60" spans="1:13" ht="20.25" hidden="1" x14ac:dyDescent="0.25">
      <c r="A60" s="74">
        <v>57</v>
      </c>
      <c r="B60" s="140" t="s">
        <v>136</v>
      </c>
      <c r="C60" s="3">
        <v>0</v>
      </c>
      <c r="D60" s="3">
        <f t="shared" si="62"/>
        <v>0</v>
      </c>
      <c r="E60" s="3"/>
      <c r="F60" s="3">
        <f t="shared" si="63"/>
        <v>0</v>
      </c>
      <c r="G60" s="3"/>
      <c r="H60" s="61">
        <f t="shared" si="66"/>
        <v>0</v>
      </c>
      <c r="I60" s="60">
        <f t="shared" si="72"/>
        <v>0</v>
      </c>
      <c r="J60" s="61" t="str">
        <f t="shared" si="65"/>
        <v>No Stock</v>
      </c>
      <c r="K60" s="16"/>
      <c r="L60" s="16"/>
      <c r="M60" s="78"/>
    </row>
    <row r="61" spans="1:13" ht="20.25" hidden="1" x14ac:dyDescent="0.25">
      <c r="A61" s="74">
        <v>58</v>
      </c>
      <c r="B61" s="140" t="s">
        <v>70</v>
      </c>
      <c r="C61" s="3">
        <v>0</v>
      </c>
      <c r="D61" s="3">
        <f t="shared" si="62"/>
        <v>0</v>
      </c>
      <c r="E61" s="3"/>
      <c r="F61" s="3">
        <f t="shared" si="63"/>
        <v>0</v>
      </c>
      <c r="G61" s="3"/>
      <c r="H61" s="61">
        <f t="shared" si="66"/>
        <v>0</v>
      </c>
      <c r="I61" s="60">
        <f t="shared" si="72"/>
        <v>0</v>
      </c>
      <c r="J61" s="61" t="str">
        <f t="shared" si="65"/>
        <v>No Stock</v>
      </c>
      <c r="K61" s="16"/>
      <c r="L61" s="16"/>
      <c r="M61" s="78"/>
    </row>
    <row r="62" spans="1:13" ht="20.25" hidden="1" x14ac:dyDescent="0.25">
      <c r="A62" s="74">
        <v>59</v>
      </c>
      <c r="B62" s="140" t="s">
        <v>71</v>
      </c>
      <c r="C62" s="3">
        <v>0</v>
      </c>
      <c r="D62" s="3">
        <f t="shared" si="62"/>
        <v>0</v>
      </c>
      <c r="E62" s="3"/>
      <c r="F62" s="3">
        <f t="shared" si="63"/>
        <v>0</v>
      </c>
      <c r="G62" s="3"/>
      <c r="H62" s="61">
        <f t="shared" si="66"/>
        <v>0</v>
      </c>
      <c r="I62" s="60">
        <f t="shared" si="72"/>
        <v>0</v>
      </c>
      <c r="J62" s="61" t="str">
        <f t="shared" si="65"/>
        <v>No Stock</v>
      </c>
      <c r="K62" s="16"/>
      <c r="L62" s="16"/>
      <c r="M62" s="78"/>
    </row>
    <row r="63" spans="1:13" ht="20.25" hidden="1" x14ac:dyDescent="0.3">
      <c r="A63" s="74">
        <v>60</v>
      </c>
      <c r="B63" s="180" t="s">
        <v>234</v>
      </c>
      <c r="C63" s="178">
        <v>0</v>
      </c>
      <c r="D63" s="178">
        <f t="shared" ref="D63" si="73">C63/24</f>
        <v>0</v>
      </c>
      <c r="E63" s="178"/>
      <c r="F63" s="3">
        <f t="shared" ref="F63" si="74">C63+E63</f>
        <v>0</v>
      </c>
      <c r="G63" s="3"/>
      <c r="H63" s="61">
        <f t="shared" si="66"/>
        <v>0</v>
      </c>
      <c r="I63" s="60">
        <f t="shared" ref="I63" si="75">H63/24</f>
        <v>0</v>
      </c>
      <c r="J63" s="61" t="str">
        <f t="shared" ref="J63" si="76">IF(I63=0,"No Stock","Available")</f>
        <v>No Stock</v>
      </c>
      <c r="K63" s="16"/>
      <c r="L63" s="16"/>
      <c r="M63" s="138"/>
    </row>
    <row r="64" spans="1:13" ht="20.25" hidden="1" x14ac:dyDescent="0.25">
      <c r="A64" s="74">
        <v>61</v>
      </c>
      <c r="B64" s="180" t="s">
        <v>235</v>
      </c>
      <c r="C64" s="178">
        <v>0</v>
      </c>
      <c r="D64" s="178">
        <f t="shared" ref="D64" si="77">C64/24</f>
        <v>0</v>
      </c>
      <c r="E64" s="178"/>
      <c r="F64" s="3">
        <f t="shared" ref="F64" si="78">C64+E64</f>
        <v>0</v>
      </c>
      <c r="G64" s="3"/>
      <c r="H64" s="61">
        <f t="shared" si="66"/>
        <v>0</v>
      </c>
      <c r="I64" s="60">
        <f t="shared" ref="I64" si="79">H64/24</f>
        <v>0</v>
      </c>
      <c r="J64" s="61" t="str">
        <f t="shared" ref="J64" si="80">IF(I64=0,"No Stock","Available")</f>
        <v>No Stock</v>
      </c>
      <c r="K64" s="16"/>
      <c r="L64" s="16"/>
      <c r="M64" s="78"/>
    </row>
    <row r="65" spans="1:13" ht="20.25" hidden="1" x14ac:dyDescent="0.25">
      <c r="A65" s="74">
        <v>62</v>
      </c>
      <c r="B65" s="180" t="s">
        <v>237</v>
      </c>
      <c r="C65" s="178">
        <v>0</v>
      </c>
      <c r="D65" s="178">
        <f t="shared" ref="D65" si="81">C65/24</f>
        <v>0</v>
      </c>
      <c r="E65" s="178"/>
      <c r="F65" s="3">
        <f>C65+E65</f>
        <v>0</v>
      </c>
      <c r="G65" s="3"/>
      <c r="H65" s="61">
        <f t="shared" si="66"/>
        <v>0</v>
      </c>
      <c r="I65" s="60">
        <f t="shared" ref="I65" si="82">H65/24</f>
        <v>0</v>
      </c>
      <c r="J65" s="61" t="str">
        <f t="shared" ref="J65" si="83">IF(I65=0,"No Stock","Available")</f>
        <v>No Stock</v>
      </c>
      <c r="K65" s="16"/>
      <c r="L65" s="16"/>
      <c r="M65" s="130"/>
    </row>
    <row r="66" spans="1:13" ht="20.25" hidden="1" x14ac:dyDescent="0.25">
      <c r="A66" s="74">
        <v>63</v>
      </c>
      <c r="B66" s="180" t="s">
        <v>241</v>
      </c>
      <c r="C66" s="178">
        <v>0</v>
      </c>
      <c r="D66" s="178">
        <f t="shared" ref="D66" si="84">C66/24</f>
        <v>0</v>
      </c>
      <c r="E66" s="178"/>
      <c r="F66" s="3">
        <f t="shared" ref="F66" si="85">C66+E66</f>
        <v>0</v>
      </c>
      <c r="G66" s="3"/>
      <c r="H66" s="61">
        <f t="shared" si="66"/>
        <v>0</v>
      </c>
      <c r="I66" s="60">
        <f t="shared" ref="I66" si="86">H66/24</f>
        <v>0</v>
      </c>
      <c r="J66" s="61" t="str">
        <f t="shared" ref="J66" si="87">IF(I66=0,"No Stock","Available")</f>
        <v>No Stock</v>
      </c>
      <c r="K66" s="16"/>
      <c r="L66" s="16"/>
      <c r="M66" s="78"/>
    </row>
    <row r="67" spans="1:13" ht="20.25" hidden="1" x14ac:dyDescent="0.25">
      <c r="A67" s="74">
        <v>64</v>
      </c>
      <c r="B67" s="180" t="s">
        <v>242</v>
      </c>
      <c r="C67" s="178">
        <v>0</v>
      </c>
      <c r="D67" s="178">
        <f t="shared" ref="D67" si="88">C67/24</f>
        <v>0</v>
      </c>
      <c r="E67" s="178"/>
      <c r="F67" s="3">
        <f t="shared" ref="F67" si="89">C67+E67</f>
        <v>0</v>
      </c>
      <c r="G67" s="3"/>
      <c r="H67" s="61">
        <f t="shared" si="66"/>
        <v>0</v>
      </c>
      <c r="I67" s="60">
        <f t="shared" ref="I67" si="90">H67/24</f>
        <v>0</v>
      </c>
      <c r="J67" s="61" t="str">
        <f t="shared" ref="J67" si="91">IF(I67=0,"No Stock","Available")</f>
        <v>No Stock</v>
      </c>
      <c r="K67" s="16"/>
      <c r="L67" s="16"/>
      <c r="M67" s="78"/>
    </row>
    <row r="68" spans="1:13" ht="20.25" hidden="1" x14ac:dyDescent="0.25">
      <c r="A68" s="74">
        <v>65</v>
      </c>
      <c r="B68" s="140" t="s">
        <v>243</v>
      </c>
      <c r="C68" s="3">
        <v>0</v>
      </c>
      <c r="D68" s="3">
        <f t="shared" ref="D68" si="92">C68/24</f>
        <v>0</v>
      </c>
      <c r="E68" s="3"/>
      <c r="F68" s="3">
        <f t="shared" ref="F68" si="93">C68+E68</f>
        <v>0</v>
      </c>
      <c r="G68" s="3"/>
      <c r="H68" s="61">
        <f t="shared" si="66"/>
        <v>0</v>
      </c>
      <c r="I68" s="60">
        <f t="shared" ref="I68" si="94">H68/24</f>
        <v>0</v>
      </c>
      <c r="J68" s="61" t="str">
        <f t="shared" ref="J68" si="95">IF(I68=0,"No Stock","Available")</f>
        <v>No Stock</v>
      </c>
      <c r="K68" s="16"/>
      <c r="L68" s="16"/>
      <c r="M68" s="131"/>
    </row>
    <row r="69" spans="1:13" ht="20.25" hidden="1" x14ac:dyDescent="0.25">
      <c r="A69" s="74">
        <v>66</v>
      </c>
      <c r="B69" s="146" t="s">
        <v>259</v>
      </c>
      <c r="C69" s="3">
        <v>0</v>
      </c>
      <c r="D69" s="3">
        <f t="shared" ref="D69" si="96">C69/24</f>
        <v>0</v>
      </c>
      <c r="E69" s="40"/>
      <c r="F69" s="3">
        <f t="shared" ref="F69" si="97">C69+E69</f>
        <v>0</v>
      </c>
      <c r="G69" s="3"/>
      <c r="H69" s="61">
        <f t="shared" si="66"/>
        <v>0</v>
      </c>
      <c r="I69" s="60">
        <f t="shared" ref="I69" si="98">H69/24</f>
        <v>0</v>
      </c>
      <c r="J69" s="61" t="str">
        <f t="shared" ref="J69" si="99">IF(I69=0,"No Stock","Available")</f>
        <v>No Stock</v>
      </c>
      <c r="K69" s="16"/>
      <c r="L69" s="16"/>
      <c r="M69" s="78"/>
    </row>
    <row r="70" spans="1:13" ht="20.25" x14ac:dyDescent="0.25">
      <c r="A70" s="74">
        <v>67</v>
      </c>
      <c r="B70" s="146" t="s">
        <v>260</v>
      </c>
      <c r="C70" s="3">
        <v>24</v>
      </c>
      <c r="D70" s="3">
        <f t="shared" ref="D70:D71" si="100">C70/24</f>
        <v>1</v>
      </c>
      <c r="E70" s="40"/>
      <c r="F70" s="3">
        <f t="shared" ref="F70:F71" si="101">C70+E70</f>
        <v>24</v>
      </c>
      <c r="G70" s="3"/>
      <c r="H70" s="61">
        <f t="shared" si="66"/>
        <v>24</v>
      </c>
      <c r="I70" s="60">
        <f t="shared" ref="I70:I71" si="102">H70/24</f>
        <v>1</v>
      </c>
      <c r="J70" s="61" t="str">
        <f t="shared" ref="J70:J71" si="103">IF(I70=0,"No Stock","Available")</f>
        <v>Available</v>
      </c>
      <c r="K70" s="16"/>
      <c r="L70" s="16"/>
      <c r="M70" s="78"/>
    </row>
    <row r="71" spans="1:13" ht="20.25" hidden="1" x14ac:dyDescent="0.25">
      <c r="A71" s="74">
        <v>68</v>
      </c>
      <c r="B71" s="146" t="s">
        <v>315</v>
      </c>
      <c r="C71" s="3">
        <v>0</v>
      </c>
      <c r="D71" s="3">
        <f t="shared" si="100"/>
        <v>0</v>
      </c>
      <c r="E71" s="40"/>
      <c r="F71" s="3">
        <f t="shared" si="101"/>
        <v>0</v>
      </c>
      <c r="G71" s="3"/>
      <c r="H71" s="61">
        <f t="shared" si="66"/>
        <v>0</v>
      </c>
      <c r="I71" s="60">
        <f t="shared" si="102"/>
        <v>0</v>
      </c>
      <c r="J71" s="61" t="str">
        <f t="shared" si="103"/>
        <v>No Stock</v>
      </c>
      <c r="K71" s="16"/>
      <c r="L71" s="16"/>
      <c r="M71" s="78"/>
    </row>
    <row r="72" spans="1:13" ht="20.25" hidden="1" x14ac:dyDescent="0.25">
      <c r="A72" s="74">
        <v>69</v>
      </c>
      <c r="B72" s="134" t="s">
        <v>280</v>
      </c>
      <c r="C72" s="3">
        <v>0</v>
      </c>
      <c r="D72" s="3">
        <f t="shared" ref="D72:D78" si="104">C72/24</f>
        <v>0</v>
      </c>
      <c r="E72" s="3"/>
      <c r="F72" s="3">
        <f t="shared" ref="F72:F78" si="105">C72+E72</f>
        <v>0</v>
      </c>
      <c r="G72" s="3"/>
      <c r="H72" s="67">
        <f t="shared" ref="H72:H103" si="106">F72-G72</f>
        <v>0</v>
      </c>
      <c r="I72" s="3">
        <f t="shared" ref="I72:I78" si="107">H72/24</f>
        <v>0</v>
      </c>
      <c r="J72" s="67" t="str">
        <f t="shared" ref="J72:J78" si="108">IF(I72=0,"No Stock","Available")</f>
        <v>No Stock</v>
      </c>
      <c r="K72" s="42"/>
      <c r="L72" s="16"/>
      <c r="M72" s="8" t="s">
        <v>49</v>
      </c>
    </row>
    <row r="73" spans="1:13" ht="20.25" hidden="1" x14ac:dyDescent="0.25">
      <c r="A73" s="74">
        <v>70</v>
      </c>
      <c r="B73" s="134" t="s">
        <v>281</v>
      </c>
      <c r="C73" s="3">
        <v>0</v>
      </c>
      <c r="D73" s="3">
        <f t="shared" si="104"/>
        <v>0</v>
      </c>
      <c r="E73" s="3"/>
      <c r="F73" s="3">
        <f t="shared" si="105"/>
        <v>0</v>
      </c>
      <c r="G73" s="3"/>
      <c r="H73" s="67">
        <f t="shared" si="106"/>
        <v>0</v>
      </c>
      <c r="I73" s="3">
        <f t="shared" si="107"/>
        <v>0</v>
      </c>
      <c r="J73" s="67" t="str">
        <f t="shared" si="108"/>
        <v>No Stock</v>
      </c>
      <c r="K73" s="42"/>
      <c r="L73" s="16"/>
      <c r="M73" s="8" t="s">
        <v>49</v>
      </c>
    </row>
    <row r="74" spans="1:13" ht="20.25" hidden="1" x14ac:dyDescent="0.25">
      <c r="A74" s="74">
        <v>71</v>
      </c>
      <c r="B74" s="134" t="s">
        <v>282</v>
      </c>
      <c r="C74" s="3">
        <v>0</v>
      </c>
      <c r="D74" s="3">
        <f t="shared" si="104"/>
        <v>0</v>
      </c>
      <c r="E74" s="3"/>
      <c r="F74" s="3">
        <f t="shared" si="105"/>
        <v>0</v>
      </c>
      <c r="G74" s="3"/>
      <c r="H74" s="67">
        <f t="shared" si="106"/>
        <v>0</v>
      </c>
      <c r="I74" s="3">
        <f t="shared" si="107"/>
        <v>0</v>
      </c>
      <c r="J74" s="67" t="str">
        <f t="shared" si="108"/>
        <v>No Stock</v>
      </c>
      <c r="K74" s="42"/>
      <c r="L74" s="16"/>
      <c r="M74" s="8" t="s">
        <v>49</v>
      </c>
    </row>
    <row r="75" spans="1:13" ht="20.25" hidden="1" x14ac:dyDescent="0.25">
      <c r="A75" s="74">
        <v>72</v>
      </c>
      <c r="B75" s="134" t="s">
        <v>288</v>
      </c>
      <c r="C75" s="3">
        <v>0</v>
      </c>
      <c r="D75" s="3">
        <f t="shared" ref="D75:D77" si="109">C75/24</f>
        <v>0</v>
      </c>
      <c r="E75" s="3"/>
      <c r="F75" s="3">
        <f t="shared" ref="F75:F77" si="110">C75+E75</f>
        <v>0</v>
      </c>
      <c r="G75" s="3"/>
      <c r="H75" s="67">
        <f t="shared" ref="H75:H77" si="111">F75-G75</f>
        <v>0</v>
      </c>
      <c r="I75" s="3">
        <f t="shared" ref="I75:I77" si="112">H75/24</f>
        <v>0</v>
      </c>
      <c r="J75" s="67" t="str">
        <f t="shared" ref="J75:J77" si="113">IF(I75=0,"No Stock","Available")</f>
        <v>No Stock</v>
      </c>
      <c r="K75" s="42"/>
      <c r="L75" s="16"/>
      <c r="M75" s="8" t="s">
        <v>49</v>
      </c>
    </row>
    <row r="76" spans="1:13" ht="20.25" hidden="1" x14ac:dyDescent="0.25">
      <c r="A76" s="74">
        <v>73</v>
      </c>
      <c r="B76" s="134" t="s">
        <v>289</v>
      </c>
      <c r="C76" s="3">
        <v>0</v>
      </c>
      <c r="D76" s="3">
        <f t="shared" si="109"/>
        <v>0</v>
      </c>
      <c r="E76" s="3"/>
      <c r="F76" s="3">
        <f t="shared" si="110"/>
        <v>0</v>
      </c>
      <c r="G76" s="3"/>
      <c r="H76" s="67">
        <f t="shared" si="111"/>
        <v>0</v>
      </c>
      <c r="I76" s="3">
        <f t="shared" si="112"/>
        <v>0</v>
      </c>
      <c r="J76" s="67" t="str">
        <f t="shared" si="113"/>
        <v>No Stock</v>
      </c>
      <c r="K76" s="42"/>
      <c r="L76" s="16"/>
      <c r="M76" s="8" t="s">
        <v>49</v>
      </c>
    </row>
    <row r="77" spans="1:13" ht="20.25" hidden="1" x14ac:dyDescent="0.25">
      <c r="A77" s="74">
        <v>74</v>
      </c>
      <c r="B77" s="134" t="s">
        <v>290</v>
      </c>
      <c r="C77" s="3">
        <v>0</v>
      </c>
      <c r="D77" s="3">
        <f t="shared" si="109"/>
        <v>0</v>
      </c>
      <c r="E77" s="3"/>
      <c r="F77" s="3">
        <f t="shared" si="110"/>
        <v>0</v>
      </c>
      <c r="G77" s="3"/>
      <c r="H77" s="67">
        <f t="shared" si="111"/>
        <v>0</v>
      </c>
      <c r="I77" s="3">
        <f t="shared" si="112"/>
        <v>0</v>
      </c>
      <c r="J77" s="67" t="str">
        <f t="shared" si="113"/>
        <v>No Stock</v>
      </c>
      <c r="K77" s="42"/>
      <c r="L77" s="16"/>
      <c r="M77" s="8" t="s">
        <v>49</v>
      </c>
    </row>
    <row r="78" spans="1:13" ht="20.25" hidden="1" x14ac:dyDescent="0.25">
      <c r="A78" s="74">
        <v>75</v>
      </c>
      <c r="B78" s="134" t="s">
        <v>284</v>
      </c>
      <c r="C78" s="3">
        <v>0</v>
      </c>
      <c r="D78" s="3">
        <f t="shared" si="104"/>
        <v>0</v>
      </c>
      <c r="E78" s="3"/>
      <c r="F78" s="3">
        <f t="shared" si="105"/>
        <v>0</v>
      </c>
      <c r="G78" s="3"/>
      <c r="H78" s="67">
        <f t="shared" si="106"/>
        <v>0</v>
      </c>
      <c r="I78" s="3">
        <f t="shared" si="107"/>
        <v>0</v>
      </c>
      <c r="J78" s="67" t="str">
        <f t="shared" si="108"/>
        <v>No Stock</v>
      </c>
      <c r="K78" s="42"/>
      <c r="L78" s="16"/>
      <c r="M78" s="8" t="s">
        <v>49</v>
      </c>
    </row>
    <row r="79" spans="1:13" ht="20.25" x14ac:dyDescent="0.25">
      <c r="A79" s="74">
        <v>76</v>
      </c>
      <c r="B79" s="140" t="s">
        <v>194</v>
      </c>
      <c r="C79" s="3">
        <v>144</v>
      </c>
      <c r="D79" s="3">
        <f>C79/24</f>
        <v>6</v>
      </c>
      <c r="E79" s="3"/>
      <c r="F79" s="3">
        <f>C79+E79</f>
        <v>144</v>
      </c>
      <c r="G79" s="3"/>
      <c r="H79" s="67">
        <f>F79-G79</f>
        <v>144</v>
      </c>
      <c r="I79" s="3">
        <f>H79/24</f>
        <v>6</v>
      </c>
      <c r="J79" s="67" t="str">
        <f>IF(I79=0,"No Stock","Available")</f>
        <v>Available</v>
      </c>
      <c r="K79" s="42"/>
      <c r="L79" s="16"/>
      <c r="M79" s="8" t="s">
        <v>49</v>
      </c>
    </row>
    <row r="80" spans="1:13" ht="22.5" customHeight="1" x14ac:dyDescent="0.25">
      <c r="A80" s="74">
        <v>77</v>
      </c>
      <c r="B80" s="140" t="s">
        <v>193</v>
      </c>
      <c r="C80" s="3">
        <v>264</v>
      </c>
      <c r="D80" s="3">
        <f t="shared" ref="D80" si="114">C80/24</f>
        <v>11</v>
      </c>
      <c r="E80" s="3"/>
      <c r="F80" s="3">
        <f t="shared" ref="F80" si="115">C80+E80</f>
        <v>264</v>
      </c>
      <c r="G80" s="3"/>
      <c r="H80" s="67">
        <f t="shared" si="106"/>
        <v>264</v>
      </c>
      <c r="I80" s="3">
        <f t="shared" ref="I80" si="116">H80/24</f>
        <v>11</v>
      </c>
      <c r="J80" s="67" t="str">
        <f t="shared" ref="J80" si="117">IF(I80=0,"No Stock","Available")</f>
        <v>Available</v>
      </c>
      <c r="K80" s="8" t="s">
        <v>124</v>
      </c>
      <c r="L80" s="16"/>
      <c r="M80" s="8" t="s">
        <v>49</v>
      </c>
    </row>
    <row r="81" spans="1:13" ht="20.25" x14ac:dyDescent="0.25">
      <c r="A81" s="74">
        <v>78</v>
      </c>
      <c r="B81" s="140" t="s">
        <v>196</v>
      </c>
      <c r="C81" s="3">
        <v>624</v>
      </c>
      <c r="D81" s="3">
        <f t="shared" ref="D81" si="118">C81/24</f>
        <v>26</v>
      </c>
      <c r="E81" s="3"/>
      <c r="F81" s="3">
        <f t="shared" ref="F81" si="119">C81+E81</f>
        <v>624</v>
      </c>
      <c r="G81" s="3"/>
      <c r="H81" s="67">
        <f t="shared" si="106"/>
        <v>624</v>
      </c>
      <c r="I81" s="3">
        <f t="shared" ref="I81" si="120">H81/24</f>
        <v>26</v>
      </c>
      <c r="J81" s="67" t="str">
        <f t="shared" ref="J81" si="121">IF(I81=0,"No Stock","Available")</f>
        <v>Available</v>
      </c>
      <c r="K81" s="129"/>
      <c r="L81" s="16"/>
      <c r="M81" s="8" t="s">
        <v>49</v>
      </c>
    </row>
    <row r="82" spans="1:13" ht="20.25" hidden="1" x14ac:dyDescent="0.25">
      <c r="A82" s="74">
        <v>79</v>
      </c>
      <c r="B82" s="140" t="s">
        <v>200</v>
      </c>
      <c r="C82" s="3">
        <v>0</v>
      </c>
      <c r="D82" s="3">
        <f t="shared" ref="D82" si="122">C82/24</f>
        <v>0</v>
      </c>
      <c r="E82" s="3"/>
      <c r="F82" s="3">
        <f t="shared" ref="F82" si="123">C82+E82</f>
        <v>0</v>
      </c>
      <c r="G82" s="3"/>
      <c r="H82" s="67">
        <f t="shared" si="106"/>
        <v>0</v>
      </c>
      <c r="I82" s="3">
        <f t="shared" ref="I82" si="124">H82/24</f>
        <v>0</v>
      </c>
      <c r="J82" s="67" t="str">
        <f t="shared" ref="J82" si="125">IF(I82=0,"No Stock","Available")</f>
        <v>No Stock</v>
      </c>
      <c r="K82" s="129"/>
      <c r="L82" s="16"/>
      <c r="M82" s="8" t="s">
        <v>49</v>
      </c>
    </row>
    <row r="83" spans="1:13" ht="20.25" hidden="1" x14ac:dyDescent="0.25">
      <c r="A83" s="74">
        <v>80</v>
      </c>
      <c r="B83" s="140" t="s">
        <v>278</v>
      </c>
      <c r="C83" s="3">
        <v>0</v>
      </c>
      <c r="D83" s="3">
        <f t="shared" ref="D83" si="126">C83/24</f>
        <v>0</v>
      </c>
      <c r="E83" s="3"/>
      <c r="F83" s="3">
        <f t="shared" ref="F83" si="127">C83+E83</f>
        <v>0</v>
      </c>
      <c r="G83" s="3"/>
      <c r="H83" s="61">
        <f t="shared" si="106"/>
        <v>0</v>
      </c>
      <c r="I83" s="60">
        <f t="shared" ref="I83" si="128">H83/24</f>
        <v>0</v>
      </c>
      <c r="J83" s="67" t="str">
        <f t="shared" ref="J83" si="129">IF(I83=0,"No Stock","Available")</f>
        <v>No Stock</v>
      </c>
      <c r="K83" s="42"/>
      <c r="L83" s="16"/>
      <c r="M83" s="8" t="s">
        <v>49</v>
      </c>
    </row>
    <row r="84" spans="1:13" ht="20.25" x14ac:dyDescent="0.25">
      <c r="A84" s="74">
        <v>81</v>
      </c>
      <c r="B84" s="140" t="s">
        <v>197</v>
      </c>
      <c r="C84" s="3">
        <v>72</v>
      </c>
      <c r="D84" s="3">
        <f t="shared" ref="D84" si="130">C84/24</f>
        <v>3</v>
      </c>
      <c r="E84" s="3"/>
      <c r="F84" s="3">
        <f t="shared" ref="F84" si="131">C84+E84</f>
        <v>72</v>
      </c>
      <c r="G84" s="3"/>
      <c r="H84" s="61">
        <f t="shared" si="106"/>
        <v>72</v>
      </c>
      <c r="I84" s="60">
        <f t="shared" ref="I84" si="132">H84/24</f>
        <v>3</v>
      </c>
      <c r="J84" s="67" t="str">
        <f t="shared" ref="J84" si="133">IF(I84=0,"No Stock","Available")</f>
        <v>Available</v>
      </c>
      <c r="K84" s="42"/>
      <c r="L84" s="16"/>
      <c r="M84" s="8" t="s">
        <v>49</v>
      </c>
    </row>
    <row r="85" spans="1:13" ht="20.25" x14ac:dyDescent="0.25">
      <c r="A85" s="74">
        <v>82</v>
      </c>
      <c r="B85" s="140" t="s">
        <v>199</v>
      </c>
      <c r="C85" s="3">
        <v>72</v>
      </c>
      <c r="D85" s="3">
        <f t="shared" ref="D85" si="134">C85/24</f>
        <v>3</v>
      </c>
      <c r="E85" s="3"/>
      <c r="F85" s="3">
        <f t="shared" ref="F85" si="135">C85+E85</f>
        <v>72</v>
      </c>
      <c r="G85" s="3"/>
      <c r="H85" s="67">
        <f t="shared" si="106"/>
        <v>72</v>
      </c>
      <c r="I85" s="3">
        <f t="shared" ref="I85" si="136">H85/24</f>
        <v>3</v>
      </c>
      <c r="J85" s="67" t="str">
        <f t="shared" ref="J85" si="137">IF(I85=0,"No Stock","Available")</f>
        <v>Available</v>
      </c>
      <c r="K85" s="42"/>
      <c r="L85" s="16"/>
      <c r="M85" s="8" t="s">
        <v>49</v>
      </c>
    </row>
    <row r="86" spans="1:13" ht="20.25" x14ac:dyDescent="0.25">
      <c r="A86" s="74">
        <v>83</v>
      </c>
      <c r="B86" s="140" t="s">
        <v>285</v>
      </c>
      <c r="C86" s="3">
        <v>408</v>
      </c>
      <c r="D86" s="3">
        <f t="shared" ref="D86" si="138">C86/24</f>
        <v>17</v>
      </c>
      <c r="E86" s="3"/>
      <c r="F86" s="3">
        <f t="shared" ref="F86" si="139">C86+E86</f>
        <v>408</v>
      </c>
      <c r="G86" s="3"/>
      <c r="H86" s="67">
        <f t="shared" ref="H86" si="140">F86-G86</f>
        <v>408</v>
      </c>
      <c r="I86" s="3">
        <f t="shared" ref="I86" si="141">H86/24</f>
        <v>17</v>
      </c>
      <c r="J86" s="67" t="str">
        <f t="shared" ref="J86" si="142">IF(I86=0,"No Stock","Available")</f>
        <v>Available</v>
      </c>
      <c r="K86" s="42"/>
      <c r="L86" s="16"/>
      <c r="M86" s="8" t="s">
        <v>49</v>
      </c>
    </row>
    <row r="87" spans="1:13" ht="20.25" hidden="1" x14ac:dyDescent="0.25">
      <c r="A87" s="74">
        <v>84</v>
      </c>
      <c r="B87" s="140" t="s">
        <v>201</v>
      </c>
      <c r="C87" s="3">
        <v>0</v>
      </c>
      <c r="D87" s="3">
        <f t="shared" ref="D87" si="143">C87/24</f>
        <v>0</v>
      </c>
      <c r="E87" s="3"/>
      <c r="F87" s="3">
        <f t="shared" ref="F87" si="144">C87+E87</f>
        <v>0</v>
      </c>
      <c r="G87" s="3"/>
      <c r="H87" s="61">
        <f t="shared" si="106"/>
        <v>0</v>
      </c>
      <c r="I87" s="60">
        <f t="shared" ref="I87" si="145">H87/24</f>
        <v>0</v>
      </c>
      <c r="J87" s="67" t="str">
        <f t="shared" ref="J87" si="146">IF(I87=0,"No Stock","Available")</f>
        <v>No Stock</v>
      </c>
      <c r="K87" s="42"/>
      <c r="L87" s="16"/>
      <c r="M87" s="8" t="s">
        <v>49</v>
      </c>
    </row>
    <row r="88" spans="1:13" ht="20.25" hidden="1" x14ac:dyDescent="0.25">
      <c r="A88" s="74">
        <v>85</v>
      </c>
      <c r="B88" s="177" t="s">
        <v>239</v>
      </c>
      <c r="C88" s="178">
        <v>0</v>
      </c>
      <c r="D88" s="178">
        <f t="shared" ref="D88" si="147">C88/24</f>
        <v>0</v>
      </c>
      <c r="E88" s="178"/>
      <c r="F88" s="3">
        <f t="shared" ref="F88" si="148">C88+E88</f>
        <v>0</v>
      </c>
      <c r="G88" s="3"/>
      <c r="H88" s="67">
        <f t="shared" si="106"/>
        <v>0</v>
      </c>
      <c r="I88" s="3">
        <f t="shared" ref="I88" si="149">H88/24</f>
        <v>0</v>
      </c>
      <c r="J88" s="67" t="str">
        <f t="shared" ref="J88" si="150">IF(I88=0,"No Stock","Available")</f>
        <v>No Stock</v>
      </c>
      <c r="K88" s="42"/>
      <c r="L88" s="16"/>
      <c r="M88" s="8"/>
    </row>
    <row r="89" spans="1:13" ht="20.25" x14ac:dyDescent="0.25">
      <c r="A89" s="74">
        <v>86</v>
      </c>
      <c r="B89" s="177" t="s">
        <v>240</v>
      </c>
      <c r="C89" s="178">
        <v>24</v>
      </c>
      <c r="D89" s="178">
        <f t="shared" ref="D89" si="151">C89/24</f>
        <v>1</v>
      </c>
      <c r="E89" s="178"/>
      <c r="F89" s="3">
        <f t="shared" ref="F89" si="152">C89+E89</f>
        <v>24</v>
      </c>
      <c r="G89" s="3"/>
      <c r="H89" s="67">
        <f t="shared" si="106"/>
        <v>24</v>
      </c>
      <c r="I89" s="3">
        <f t="shared" ref="I89" si="153">H89/24</f>
        <v>1</v>
      </c>
      <c r="J89" s="67" t="str">
        <f t="shared" ref="J89" si="154">IF(I89=0,"No Stock","Available")</f>
        <v>Available</v>
      </c>
      <c r="K89" s="42"/>
      <c r="L89" s="16"/>
      <c r="M89" s="8"/>
    </row>
    <row r="90" spans="1:13" ht="20.25" hidden="1" x14ac:dyDescent="0.25">
      <c r="A90" s="74">
        <v>87</v>
      </c>
      <c r="B90" s="177" t="s">
        <v>238</v>
      </c>
      <c r="C90" s="178">
        <v>0</v>
      </c>
      <c r="D90" s="178">
        <f t="shared" ref="D90:D92" si="155">C90/24</f>
        <v>0</v>
      </c>
      <c r="E90" s="178"/>
      <c r="F90" s="3">
        <f t="shared" ref="F90:F92" si="156">C90+E90</f>
        <v>0</v>
      </c>
      <c r="G90" s="3"/>
      <c r="H90" s="67">
        <f t="shared" si="106"/>
        <v>0</v>
      </c>
      <c r="I90" s="3">
        <f t="shared" ref="I90:I92" si="157">H90/24</f>
        <v>0</v>
      </c>
      <c r="J90" s="67" t="str">
        <f t="shared" ref="J90:J92" si="158">IF(I90=0,"No Stock","Available")</f>
        <v>No Stock</v>
      </c>
      <c r="K90" s="42"/>
      <c r="L90" s="16"/>
      <c r="M90" s="8"/>
    </row>
    <row r="91" spans="1:13" ht="20.25" hidden="1" x14ac:dyDescent="0.25">
      <c r="A91" s="74">
        <v>88</v>
      </c>
      <c r="B91" s="179" t="s">
        <v>298</v>
      </c>
      <c r="C91" s="178">
        <v>0</v>
      </c>
      <c r="D91" s="178">
        <f t="shared" si="155"/>
        <v>0</v>
      </c>
      <c r="E91" s="178"/>
      <c r="F91" s="3">
        <f t="shared" si="156"/>
        <v>0</v>
      </c>
      <c r="G91" s="3"/>
      <c r="H91" s="67">
        <f t="shared" si="106"/>
        <v>0</v>
      </c>
      <c r="I91" s="3">
        <f t="shared" si="157"/>
        <v>0</v>
      </c>
      <c r="J91" s="67" t="str">
        <f t="shared" si="158"/>
        <v>No Stock</v>
      </c>
      <c r="K91" s="42"/>
      <c r="L91" s="16"/>
      <c r="M91" s="8"/>
    </row>
    <row r="92" spans="1:13" ht="20.25" hidden="1" x14ac:dyDescent="0.25">
      <c r="A92" s="74">
        <v>89</v>
      </c>
      <c r="B92" s="179" t="s">
        <v>300</v>
      </c>
      <c r="C92" s="178">
        <v>0</v>
      </c>
      <c r="D92" s="178">
        <f t="shared" si="155"/>
        <v>0</v>
      </c>
      <c r="E92" s="178"/>
      <c r="F92" s="3">
        <f t="shared" si="156"/>
        <v>0</v>
      </c>
      <c r="G92" s="3"/>
      <c r="H92" s="67">
        <f t="shared" si="106"/>
        <v>0</v>
      </c>
      <c r="I92" s="3">
        <f t="shared" si="157"/>
        <v>0</v>
      </c>
      <c r="J92" s="67" t="str">
        <f t="shared" si="158"/>
        <v>No Stock</v>
      </c>
      <c r="K92" s="42"/>
      <c r="L92" s="16"/>
      <c r="M92" s="8"/>
    </row>
    <row r="93" spans="1:13" ht="20.25" hidden="1" x14ac:dyDescent="0.25">
      <c r="A93" s="74">
        <v>90</v>
      </c>
      <c r="B93" s="135" t="s">
        <v>72</v>
      </c>
      <c r="C93" s="3">
        <v>0</v>
      </c>
      <c r="D93" s="3">
        <f t="shared" ref="D93:D96" si="159">C93/24</f>
        <v>0</v>
      </c>
      <c r="E93" s="3"/>
      <c r="F93" s="3">
        <f t="shared" ref="F93" si="160">C93+E93</f>
        <v>0</v>
      </c>
      <c r="G93" s="3"/>
      <c r="H93" s="67">
        <f t="shared" si="106"/>
        <v>0</v>
      </c>
      <c r="I93" s="3">
        <f t="shared" ref="I93" si="161">H93/24</f>
        <v>0</v>
      </c>
      <c r="J93" s="67" t="str">
        <f t="shared" ref="J93" si="162">IF(I93=0,"No Stock","Available")</f>
        <v>No Stock</v>
      </c>
      <c r="K93" s="17"/>
      <c r="L93" s="16"/>
      <c r="M93" s="4"/>
    </row>
    <row r="94" spans="1:13" ht="20.25" hidden="1" x14ac:dyDescent="0.25">
      <c r="A94" s="74">
        <v>91</v>
      </c>
      <c r="B94" s="135" t="s">
        <v>73</v>
      </c>
      <c r="C94" s="3">
        <v>0</v>
      </c>
      <c r="D94" s="3">
        <f t="shared" si="159"/>
        <v>0</v>
      </c>
      <c r="E94" s="3"/>
      <c r="F94" s="3">
        <f t="shared" ref="F94" si="163">C94+E94</f>
        <v>0</v>
      </c>
      <c r="G94" s="3"/>
      <c r="H94" s="67">
        <f t="shared" si="106"/>
        <v>0</v>
      </c>
      <c r="I94" s="3">
        <f t="shared" ref="I94" si="164">H94/24</f>
        <v>0</v>
      </c>
      <c r="J94" s="67" t="str">
        <f t="shared" ref="J94" si="165">IF(I94=0,"No Stock","Available")</f>
        <v>No Stock</v>
      </c>
      <c r="K94" s="17"/>
      <c r="L94" s="16"/>
      <c r="M94" s="4"/>
    </row>
    <row r="95" spans="1:13" ht="20.25" hidden="1" x14ac:dyDescent="0.25">
      <c r="A95" s="74">
        <v>92</v>
      </c>
      <c r="B95" s="135" t="s">
        <v>74</v>
      </c>
      <c r="C95" s="3">
        <v>0</v>
      </c>
      <c r="D95" s="3">
        <f t="shared" ref="D95" si="166">C95/24</f>
        <v>0</v>
      </c>
      <c r="E95" s="3"/>
      <c r="F95" s="3">
        <f t="shared" ref="F95" si="167">C95+E95</f>
        <v>0</v>
      </c>
      <c r="G95" s="3"/>
      <c r="H95" s="67">
        <f t="shared" si="106"/>
        <v>0</v>
      </c>
      <c r="I95" s="3">
        <f t="shared" ref="I95" si="168">H95/24</f>
        <v>0</v>
      </c>
      <c r="J95" s="67" t="str">
        <f t="shared" ref="J95" si="169">IF(I95=0,"No Stock","Available")</f>
        <v>No Stock</v>
      </c>
      <c r="K95" s="42"/>
      <c r="L95" s="16"/>
      <c r="M95" s="4"/>
    </row>
    <row r="96" spans="1:13" ht="20.25" hidden="1" x14ac:dyDescent="0.25">
      <c r="A96" s="74">
        <v>93</v>
      </c>
      <c r="B96" s="135" t="s">
        <v>75</v>
      </c>
      <c r="C96" s="3">
        <v>0</v>
      </c>
      <c r="D96" s="3">
        <f t="shared" si="159"/>
        <v>0</v>
      </c>
      <c r="E96" s="3"/>
      <c r="F96" s="3">
        <f t="shared" ref="F96:F97" si="170">C96+E96</f>
        <v>0</v>
      </c>
      <c r="G96" s="3"/>
      <c r="H96" s="67">
        <f t="shared" si="106"/>
        <v>0</v>
      </c>
      <c r="I96" s="3">
        <f t="shared" ref="I96:I97" si="171">H96/24</f>
        <v>0</v>
      </c>
      <c r="J96" s="67" t="str">
        <f t="shared" ref="J96:J97" si="172">IF(I96=0,"No Stock","Available")</f>
        <v>No Stock</v>
      </c>
      <c r="K96" s="42"/>
      <c r="L96" s="16"/>
      <c r="M96" s="4"/>
    </row>
    <row r="97" spans="1:13" ht="20.25" hidden="1" x14ac:dyDescent="0.25">
      <c r="A97" s="74">
        <v>94</v>
      </c>
      <c r="B97" s="135" t="s">
        <v>297</v>
      </c>
      <c r="C97" s="3">
        <v>0</v>
      </c>
      <c r="D97" s="3">
        <f t="shared" ref="D97" si="173">C97/24</f>
        <v>0</v>
      </c>
      <c r="E97" s="3"/>
      <c r="F97" s="3">
        <f t="shared" si="170"/>
        <v>0</v>
      </c>
      <c r="G97" s="3"/>
      <c r="H97" s="67">
        <f t="shared" si="106"/>
        <v>0</v>
      </c>
      <c r="I97" s="3">
        <f t="shared" si="171"/>
        <v>0</v>
      </c>
      <c r="J97" s="67" t="str">
        <f t="shared" si="172"/>
        <v>No Stock</v>
      </c>
      <c r="K97" s="17"/>
      <c r="L97" s="16"/>
      <c r="M97" s="8"/>
    </row>
    <row r="98" spans="1:13" ht="20.25" x14ac:dyDescent="0.25">
      <c r="A98" s="74">
        <v>95</v>
      </c>
      <c r="B98" s="135" t="s">
        <v>167</v>
      </c>
      <c r="C98" s="3">
        <v>24</v>
      </c>
      <c r="D98" s="3">
        <f t="shared" ref="D98:D101" si="174">C98/24</f>
        <v>1</v>
      </c>
      <c r="E98" s="3"/>
      <c r="F98" s="3">
        <f t="shared" ref="F98:F101" si="175">C98+E98</f>
        <v>24</v>
      </c>
      <c r="G98" s="3"/>
      <c r="H98" s="67">
        <f t="shared" si="106"/>
        <v>24</v>
      </c>
      <c r="I98" s="3">
        <f t="shared" ref="I98:I101" si="176">H98/24</f>
        <v>1</v>
      </c>
      <c r="J98" s="67" t="str">
        <f t="shared" ref="J98:J101" si="177">IF(I98=0,"No Stock","Available")</f>
        <v>Available</v>
      </c>
      <c r="K98" s="17"/>
      <c r="L98" s="16"/>
      <c r="M98" s="4"/>
    </row>
    <row r="99" spans="1:13" ht="20.25" x14ac:dyDescent="0.25">
      <c r="A99" s="74">
        <v>96</v>
      </c>
      <c r="B99" s="135" t="s">
        <v>293</v>
      </c>
      <c r="C99" s="3">
        <v>24</v>
      </c>
      <c r="D99" s="3">
        <f t="shared" si="174"/>
        <v>1</v>
      </c>
      <c r="E99" s="3"/>
      <c r="F99" s="3">
        <f t="shared" si="175"/>
        <v>24</v>
      </c>
      <c r="G99" s="3"/>
      <c r="H99" s="67">
        <f t="shared" si="106"/>
        <v>24</v>
      </c>
      <c r="I99" s="3">
        <f t="shared" si="176"/>
        <v>1</v>
      </c>
      <c r="J99" s="67" t="str">
        <f t="shared" si="177"/>
        <v>Available</v>
      </c>
      <c r="K99" s="17"/>
      <c r="L99" s="16"/>
      <c r="M99" s="4"/>
    </row>
    <row r="100" spans="1:13" ht="20.25" hidden="1" x14ac:dyDescent="0.25">
      <c r="A100" s="74">
        <v>97</v>
      </c>
      <c r="B100" s="135" t="s">
        <v>294</v>
      </c>
      <c r="C100" s="3">
        <v>0</v>
      </c>
      <c r="D100" s="3">
        <f t="shared" si="174"/>
        <v>0</v>
      </c>
      <c r="E100" s="3"/>
      <c r="F100" s="3">
        <f t="shared" si="175"/>
        <v>0</v>
      </c>
      <c r="G100" s="3"/>
      <c r="H100" s="67">
        <f t="shared" si="106"/>
        <v>0</v>
      </c>
      <c r="I100" s="3">
        <f t="shared" si="176"/>
        <v>0</v>
      </c>
      <c r="J100" s="67" t="str">
        <f t="shared" si="177"/>
        <v>No Stock</v>
      </c>
      <c r="K100" s="17"/>
      <c r="L100" s="16"/>
      <c r="M100" s="4"/>
    </row>
    <row r="101" spans="1:13" ht="20.25" x14ac:dyDescent="0.25">
      <c r="A101" s="74">
        <v>98</v>
      </c>
      <c r="B101" s="135" t="s">
        <v>310</v>
      </c>
      <c r="C101" s="3">
        <v>48</v>
      </c>
      <c r="D101" s="3">
        <f t="shared" si="174"/>
        <v>2</v>
      </c>
      <c r="E101" s="3"/>
      <c r="F101" s="3">
        <f t="shared" si="175"/>
        <v>48</v>
      </c>
      <c r="G101" s="3"/>
      <c r="H101" s="67">
        <f t="shared" si="106"/>
        <v>48</v>
      </c>
      <c r="I101" s="3">
        <f t="shared" si="176"/>
        <v>2</v>
      </c>
      <c r="J101" s="67" t="str">
        <f t="shared" si="177"/>
        <v>Available</v>
      </c>
      <c r="K101" s="17"/>
      <c r="L101" s="16"/>
      <c r="M101" s="4"/>
    </row>
    <row r="102" spans="1:13" ht="20.25" hidden="1" x14ac:dyDescent="0.25">
      <c r="A102" s="74">
        <v>99</v>
      </c>
      <c r="B102" s="135" t="s">
        <v>76</v>
      </c>
      <c r="C102" s="3">
        <v>0</v>
      </c>
      <c r="D102" s="3">
        <f t="shared" ref="D102" si="178">C102/24</f>
        <v>0</v>
      </c>
      <c r="E102" s="3"/>
      <c r="F102" s="3">
        <f t="shared" ref="F102" si="179">C102+E102</f>
        <v>0</v>
      </c>
      <c r="G102" s="3"/>
      <c r="H102" s="67">
        <f t="shared" si="106"/>
        <v>0</v>
      </c>
      <c r="I102" s="3">
        <f t="shared" ref="I102" si="180">H102/24</f>
        <v>0</v>
      </c>
      <c r="J102" s="67" t="str">
        <f t="shared" ref="J102" si="181">IF(I102=0,"No Stock","Available")</f>
        <v>No Stock</v>
      </c>
      <c r="K102" s="42"/>
      <c r="L102" s="16"/>
      <c r="M102" s="4"/>
    </row>
    <row r="103" spans="1:13" ht="20.25" x14ac:dyDescent="0.25">
      <c r="A103" s="74">
        <v>100</v>
      </c>
      <c r="B103" s="135" t="s">
        <v>77</v>
      </c>
      <c r="C103" s="3">
        <v>24</v>
      </c>
      <c r="D103" s="3">
        <f t="shared" ref="D103" si="182">C103/24</f>
        <v>1</v>
      </c>
      <c r="E103" s="3"/>
      <c r="F103" s="3">
        <f t="shared" ref="F103" si="183">C103+E103</f>
        <v>24</v>
      </c>
      <c r="G103" s="3"/>
      <c r="H103" s="67">
        <f t="shared" si="106"/>
        <v>24</v>
      </c>
      <c r="I103" s="3">
        <f t="shared" ref="I103" si="184">H103/24</f>
        <v>1</v>
      </c>
      <c r="J103" s="67" t="str">
        <f t="shared" ref="J103" si="185">IF(I103=0,"No Stock","Available")</f>
        <v>Available</v>
      </c>
      <c r="K103" s="42"/>
      <c r="L103" s="16"/>
      <c r="M103" s="4"/>
    </row>
    <row r="104" spans="1:13" ht="20.25" hidden="1" x14ac:dyDescent="0.25">
      <c r="A104" s="74">
        <v>101</v>
      </c>
      <c r="B104" s="135" t="s">
        <v>79</v>
      </c>
      <c r="C104" s="3">
        <v>0</v>
      </c>
      <c r="D104" s="3">
        <f t="shared" ref="D104" si="186">C104/24</f>
        <v>0</v>
      </c>
      <c r="E104" s="3"/>
      <c r="F104" s="3">
        <f t="shared" ref="F104" si="187">C104+E104</f>
        <v>0</v>
      </c>
      <c r="G104" s="3"/>
      <c r="H104" s="67">
        <f t="shared" ref="H104:H106" si="188">F104-G104</f>
        <v>0</v>
      </c>
      <c r="I104" s="3">
        <f t="shared" ref="I104" si="189">H104/24</f>
        <v>0</v>
      </c>
      <c r="J104" s="67" t="str">
        <f t="shared" ref="J104" si="190">IF(I104=0,"No Stock","Available")</f>
        <v>No Stock</v>
      </c>
      <c r="K104" s="17"/>
      <c r="L104" s="16"/>
      <c r="M104" s="4"/>
    </row>
    <row r="105" spans="1:13" ht="20.25" hidden="1" x14ac:dyDescent="0.25">
      <c r="A105" s="74">
        <v>102</v>
      </c>
      <c r="B105" s="144" t="s">
        <v>177</v>
      </c>
      <c r="C105" s="3">
        <v>0</v>
      </c>
      <c r="D105" s="3">
        <f t="shared" ref="D105" si="191">C105/24</f>
        <v>0</v>
      </c>
      <c r="E105" s="40"/>
      <c r="F105" s="3">
        <f t="shared" ref="F105" si="192">C105+E105</f>
        <v>0</v>
      </c>
      <c r="G105" s="3"/>
      <c r="H105" s="67">
        <f t="shared" si="188"/>
        <v>0</v>
      </c>
      <c r="I105" s="3">
        <f t="shared" ref="I105" si="193">H105/24</f>
        <v>0</v>
      </c>
      <c r="J105" s="67" t="str">
        <f t="shared" ref="J105" si="194">IF(I105=0,"No Stock","Available")</f>
        <v>No Stock</v>
      </c>
      <c r="K105" s="17"/>
      <c r="L105" s="16"/>
      <c r="M105" s="8"/>
    </row>
    <row r="106" spans="1:13" ht="20.25" hidden="1" x14ac:dyDescent="0.25">
      <c r="A106" s="74">
        <v>103</v>
      </c>
      <c r="B106" s="144" t="s">
        <v>78</v>
      </c>
      <c r="C106" s="40">
        <v>0</v>
      </c>
      <c r="D106" s="40">
        <f t="shared" ref="D106" si="195">C106/24</f>
        <v>0</v>
      </c>
      <c r="E106" s="40"/>
      <c r="F106" s="40">
        <f t="shared" ref="F106" si="196">C106+E106</f>
        <v>0</v>
      </c>
      <c r="G106" s="3"/>
      <c r="H106" s="63">
        <f t="shared" si="188"/>
        <v>0</v>
      </c>
      <c r="I106" s="40">
        <f t="shared" ref="I106" si="197">H106/24</f>
        <v>0</v>
      </c>
      <c r="J106" s="63" t="str">
        <f t="shared" ref="J106" si="198">IF(I106=0,"No Stock","Available")</f>
        <v>No Stock</v>
      </c>
      <c r="K106" s="42"/>
      <c r="L106" s="16"/>
      <c r="M106" s="37"/>
    </row>
    <row r="107" spans="1:13" ht="20.25" x14ac:dyDescent="0.25">
      <c r="A107" s="156" t="s">
        <v>1</v>
      </c>
      <c r="B107" s="157"/>
      <c r="C107" s="69">
        <f>SUM(C4:C106)</f>
        <v>2424</v>
      </c>
      <c r="D107" s="69">
        <f>SUM(D4:D106)</f>
        <v>101</v>
      </c>
      <c r="E107" s="69">
        <f>SUM(E4:E106)</f>
        <v>1368</v>
      </c>
      <c r="F107" s="69">
        <f>SUM(F4:F106)</f>
        <v>3792</v>
      </c>
      <c r="G107" s="69">
        <f>SUM(G4:G106)</f>
        <v>0</v>
      </c>
      <c r="H107" s="70">
        <f t="shared" ref="H107" si="199">F107-G107</f>
        <v>3792</v>
      </c>
      <c r="I107" s="69">
        <f>SUM(I4:I106)</f>
        <v>158</v>
      </c>
      <c r="J107" s="69"/>
      <c r="K107" s="43"/>
      <c r="L107" s="55">
        <f>SUM(L4:L70)</f>
        <v>0</v>
      </c>
      <c r="M107" s="69"/>
    </row>
    <row r="108" spans="1:13" ht="20.25" x14ac:dyDescent="0.25">
      <c r="A108" s="123" t="s">
        <v>18</v>
      </c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5"/>
    </row>
    <row r="109" spans="1:13" ht="81" x14ac:dyDescent="0.25">
      <c r="A109" s="71" t="s">
        <v>0</v>
      </c>
      <c r="B109" s="72" t="s">
        <v>4</v>
      </c>
      <c r="C109" s="73" t="s">
        <v>9</v>
      </c>
      <c r="D109" s="73" t="s">
        <v>5</v>
      </c>
      <c r="E109" s="73" t="s">
        <v>14</v>
      </c>
      <c r="F109" s="73" t="s">
        <v>6</v>
      </c>
      <c r="G109" s="73" t="s">
        <v>12</v>
      </c>
      <c r="H109" s="73" t="s">
        <v>7</v>
      </c>
      <c r="I109" s="73" t="s">
        <v>8</v>
      </c>
      <c r="J109" s="118" t="s">
        <v>13</v>
      </c>
      <c r="K109" s="116"/>
      <c r="L109" s="116"/>
      <c r="M109" s="119"/>
    </row>
    <row r="110" spans="1:13" ht="20.25" x14ac:dyDescent="0.25">
      <c r="A110" s="162" t="s">
        <v>10</v>
      </c>
      <c r="B110" s="163"/>
      <c r="C110" s="14">
        <f>C107</f>
        <v>2424</v>
      </c>
      <c r="D110" s="14">
        <f t="shared" ref="D110" si="200">C110/24</f>
        <v>101</v>
      </c>
      <c r="E110" s="14">
        <f>E107</f>
        <v>1368</v>
      </c>
      <c r="F110" s="14">
        <f>F107</f>
        <v>3792</v>
      </c>
      <c r="G110" s="14">
        <f>SUM(G107)</f>
        <v>0</v>
      </c>
      <c r="H110" s="14">
        <f>H107</f>
        <v>3792</v>
      </c>
      <c r="I110" s="14">
        <f>SUM(I107)</f>
        <v>158</v>
      </c>
      <c r="J110" s="15"/>
      <c r="K110" s="44"/>
      <c r="L110" s="15"/>
      <c r="M110" s="7"/>
    </row>
    <row r="111" spans="1:13" ht="20.25" hidden="1" x14ac:dyDescent="0.25">
      <c r="A111" s="74">
        <v>1</v>
      </c>
      <c r="B111" s="64" t="s">
        <v>166</v>
      </c>
      <c r="C111" s="60">
        <v>0</v>
      </c>
      <c r="D111" s="60">
        <f t="shared" ref="D111" si="201">C111/24</f>
        <v>0</v>
      </c>
      <c r="E111" s="60"/>
      <c r="F111" s="3">
        <f t="shared" ref="F111" si="202">C111+E111</f>
        <v>0</v>
      </c>
      <c r="G111" s="3"/>
      <c r="H111" s="3">
        <f t="shared" ref="H111" si="203">F111-G111</f>
        <v>0</v>
      </c>
      <c r="I111" s="3">
        <f t="shared" ref="I111" si="204">H111/24</f>
        <v>0</v>
      </c>
      <c r="J111" s="3" t="str">
        <f t="shared" ref="J111" si="205">IF(I111=0,"No Stock","Available")</f>
        <v>No Stock</v>
      </c>
      <c r="K111" s="18"/>
      <c r="L111" s="18"/>
      <c r="M111" s="8"/>
    </row>
    <row r="112" spans="1:13" ht="20.25" hidden="1" x14ac:dyDescent="0.25">
      <c r="A112" s="74">
        <v>2</v>
      </c>
      <c r="B112" s="64" t="s">
        <v>176</v>
      </c>
      <c r="C112" s="60">
        <v>0</v>
      </c>
      <c r="D112" s="60">
        <f t="shared" ref="D112:D114" si="206">C112/24</f>
        <v>0</v>
      </c>
      <c r="E112" s="60"/>
      <c r="F112" s="3">
        <f t="shared" ref="F112:F114" si="207">C112+E112</f>
        <v>0</v>
      </c>
      <c r="G112" s="3"/>
      <c r="H112" s="3">
        <f t="shared" ref="H112" si="208">F112-G112</f>
        <v>0</v>
      </c>
      <c r="I112" s="3">
        <f t="shared" ref="I112" si="209">H112/24</f>
        <v>0</v>
      </c>
      <c r="J112" s="3" t="str">
        <f t="shared" ref="J112" si="210">IF(I112=0,"No Stock","Available")</f>
        <v>No Stock</v>
      </c>
      <c r="K112" s="18"/>
      <c r="L112" s="18"/>
      <c r="M112" s="8"/>
    </row>
    <row r="113" spans="1:13" ht="20.25" hidden="1" x14ac:dyDescent="0.25">
      <c r="A113" s="74">
        <v>3</v>
      </c>
      <c r="B113" s="64" t="s">
        <v>171</v>
      </c>
      <c r="C113" s="60">
        <v>0</v>
      </c>
      <c r="D113" s="60">
        <f t="shared" si="206"/>
        <v>0</v>
      </c>
      <c r="E113" s="60"/>
      <c r="F113" s="3">
        <f t="shared" si="207"/>
        <v>0</v>
      </c>
      <c r="G113" s="3"/>
      <c r="H113" s="3">
        <f t="shared" ref="H113" si="211">F113-G113</f>
        <v>0</v>
      </c>
      <c r="I113" s="3">
        <f t="shared" ref="I113" si="212">H113/24</f>
        <v>0</v>
      </c>
      <c r="J113" s="3" t="str">
        <f t="shared" ref="J113" si="213">IF(I113=0,"No Stock","Available")</f>
        <v>No Stock</v>
      </c>
      <c r="K113" s="18"/>
      <c r="L113" s="18"/>
      <c r="M113" s="8"/>
    </row>
    <row r="114" spans="1:13" ht="20.25" hidden="1" x14ac:dyDescent="0.25">
      <c r="A114" s="74">
        <v>4</v>
      </c>
      <c r="B114" s="64" t="s">
        <v>214</v>
      </c>
      <c r="C114" s="60">
        <v>0</v>
      </c>
      <c r="D114" s="60">
        <f t="shared" si="206"/>
        <v>0</v>
      </c>
      <c r="E114" s="60"/>
      <c r="F114" s="3">
        <f t="shared" si="207"/>
        <v>0</v>
      </c>
      <c r="G114" s="3"/>
      <c r="H114" s="3">
        <f t="shared" ref="H114" si="214">F114-G114</f>
        <v>0</v>
      </c>
      <c r="I114" s="3">
        <f t="shared" ref="I114" si="215">H114/24</f>
        <v>0</v>
      </c>
      <c r="J114" s="3" t="str">
        <f t="shared" ref="J114" si="216">IF(I114=0,"No Stock","Available")</f>
        <v>No Stock</v>
      </c>
      <c r="K114" s="18"/>
      <c r="L114" s="18"/>
      <c r="M114" s="8"/>
    </row>
    <row r="115" spans="1:13" ht="20.25" x14ac:dyDescent="0.25">
      <c r="A115" s="74">
        <v>5</v>
      </c>
      <c r="B115" s="64" t="s">
        <v>316</v>
      </c>
      <c r="C115" s="60">
        <v>24</v>
      </c>
      <c r="D115" s="60">
        <f t="shared" ref="D115" si="217">C115/24</f>
        <v>1</v>
      </c>
      <c r="E115" s="60"/>
      <c r="F115" s="60">
        <f t="shared" ref="F115" si="218">E115+C115</f>
        <v>24</v>
      </c>
      <c r="G115" s="3"/>
      <c r="H115" s="60">
        <f t="shared" ref="H115" si="219">F115-G115</f>
        <v>24</v>
      </c>
      <c r="I115" s="60">
        <f t="shared" ref="I115" si="220">H115/24</f>
        <v>1</v>
      </c>
      <c r="J115" s="60" t="str">
        <f t="shared" ref="J115" si="221">IF(I115=0,"No Stock","Available")</f>
        <v>Available</v>
      </c>
      <c r="K115" s="46">
        <v>265</v>
      </c>
      <c r="L115" s="18">
        <f t="shared" ref="L115" si="222">H115*K115</f>
        <v>6360</v>
      </c>
      <c r="M115" s="37"/>
    </row>
    <row r="116" spans="1:13" ht="20.25" x14ac:dyDescent="0.25">
      <c r="A116" s="74">
        <v>6</v>
      </c>
      <c r="B116" s="64" t="s">
        <v>152</v>
      </c>
      <c r="C116" s="60">
        <v>24</v>
      </c>
      <c r="D116" s="60">
        <f t="shared" ref="D116" si="223">C116/24</f>
        <v>1</v>
      </c>
      <c r="E116" s="60"/>
      <c r="F116" s="3">
        <f t="shared" ref="F116" si="224">E116+C116</f>
        <v>24</v>
      </c>
      <c r="G116" s="3"/>
      <c r="H116" s="3">
        <f t="shared" ref="H116" si="225">F116-G116</f>
        <v>24</v>
      </c>
      <c r="I116" s="3">
        <f t="shared" ref="I116" si="226">H116/24</f>
        <v>1</v>
      </c>
      <c r="J116" s="3" t="str">
        <f t="shared" ref="J116" si="227">IF(I116=0,"No Stock","Available")</f>
        <v>Available</v>
      </c>
      <c r="K116" s="18"/>
      <c r="L116" s="18"/>
      <c r="M116" s="4"/>
    </row>
    <row r="117" spans="1:13" ht="20.25" hidden="1" x14ac:dyDescent="0.25">
      <c r="A117" s="74">
        <v>7</v>
      </c>
      <c r="B117" s="65" t="s">
        <v>264</v>
      </c>
      <c r="C117" s="60">
        <v>0</v>
      </c>
      <c r="D117" s="60">
        <f t="shared" ref="D117" si="228">C117/24</f>
        <v>0</v>
      </c>
      <c r="E117" s="60"/>
      <c r="F117" s="3">
        <f t="shared" ref="F117" si="229">E117+C117</f>
        <v>0</v>
      </c>
      <c r="G117" s="3"/>
      <c r="H117" s="3">
        <f t="shared" ref="H117" si="230">F117-G117</f>
        <v>0</v>
      </c>
      <c r="I117" s="3">
        <f t="shared" ref="I117" si="231">H117/24</f>
        <v>0</v>
      </c>
      <c r="J117" s="3" t="str">
        <f t="shared" ref="J117" si="232">IF(I117=0,"No Stock","Available")</f>
        <v>No Stock</v>
      </c>
      <c r="K117" s="45"/>
      <c r="L117" s="18"/>
      <c r="M117" s="4"/>
    </row>
    <row r="118" spans="1:13" ht="20.25" hidden="1" x14ac:dyDescent="0.25">
      <c r="A118" s="74">
        <v>8</v>
      </c>
      <c r="B118" s="134" t="s">
        <v>81</v>
      </c>
      <c r="C118" s="3">
        <v>0</v>
      </c>
      <c r="D118" s="3">
        <f t="shared" ref="D118:D138" si="233">C118/24</f>
        <v>0</v>
      </c>
      <c r="E118" s="3"/>
      <c r="F118" s="3">
        <f t="shared" ref="F118" si="234">E118+C118</f>
        <v>0</v>
      </c>
      <c r="G118" s="3"/>
      <c r="H118" s="3">
        <f t="shared" ref="H118" si="235">F118-G118</f>
        <v>0</v>
      </c>
      <c r="I118" s="3">
        <f t="shared" ref="I118" si="236">H118/24</f>
        <v>0</v>
      </c>
      <c r="J118" s="3" t="str">
        <f t="shared" ref="J118" si="237">IF(I118=0,"No Stock","Available")</f>
        <v>No Stock</v>
      </c>
      <c r="K118" s="45"/>
      <c r="L118" s="18"/>
      <c r="M118" s="4"/>
    </row>
    <row r="119" spans="1:13" ht="20.25" hidden="1" x14ac:dyDescent="0.25">
      <c r="A119" s="74">
        <v>9</v>
      </c>
      <c r="B119" s="134" t="s">
        <v>82</v>
      </c>
      <c r="C119" s="3">
        <v>0</v>
      </c>
      <c r="D119" s="3">
        <f t="shared" si="233"/>
        <v>0</v>
      </c>
      <c r="E119" s="3"/>
      <c r="F119" s="3">
        <f t="shared" ref="F119" si="238">E119+C119</f>
        <v>0</v>
      </c>
      <c r="G119" s="3"/>
      <c r="H119" s="3">
        <f t="shared" ref="H119" si="239">F119-G119</f>
        <v>0</v>
      </c>
      <c r="I119" s="3">
        <f t="shared" ref="I119" si="240">H119/24</f>
        <v>0</v>
      </c>
      <c r="J119" s="3" t="str">
        <f t="shared" ref="J119" si="241">IF(I119=0,"No Stock","Available")</f>
        <v>No Stock</v>
      </c>
      <c r="K119" s="18"/>
      <c r="L119" s="18"/>
      <c r="M119" s="4"/>
    </row>
    <row r="120" spans="1:13" ht="20.25" hidden="1" x14ac:dyDescent="0.25">
      <c r="A120" s="74">
        <v>10</v>
      </c>
      <c r="B120" s="141" t="s">
        <v>83</v>
      </c>
      <c r="C120" s="40">
        <v>0</v>
      </c>
      <c r="D120" s="40">
        <f t="shared" si="233"/>
        <v>0</v>
      </c>
      <c r="E120" s="40"/>
      <c r="F120" s="40">
        <f t="shared" ref="F120" si="242">E120+C120</f>
        <v>0</v>
      </c>
      <c r="G120" s="40"/>
      <c r="H120" s="40">
        <f t="shared" ref="H120" si="243">F120-G120</f>
        <v>0</v>
      </c>
      <c r="I120" s="40">
        <f t="shared" ref="I120" si="244">H120/24</f>
        <v>0</v>
      </c>
      <c r="J120" s="40" t="str">
        <f t="shared" ref="J120" si="245">IF(I120=0,"No Stock","Available")</f>
        <v>No Stock</v>
      </c>
      <c r="K120" s="18"/>
      <c r="L120" s="18"/>
      <c r="M120" s="4"/>
    </row>
    <row r="121" spans="1:13" ht="20.25" x14ac:dyDescent="0.25">
      <c r="A121" s="74">
        <v>11</v>
      </c>
      <c r="B121" s="141" t="s">
        <v>140</v>
      </c>
      <c r="C121" s="40">
        <v>48</v>
      </c>
      <c r="D121" s="40">
        <f t="shared" ref="D121:D122" si="246">C121/24</f>
        <v>2</v>
      </c>
      <c r="E121" s="40"/>
      <c r="F121" s="40">
        <f t="shared" ref="F121:F122" si="247">E121+C121</f>
        <v>48</v>
      </c>
      <c r="G121" s="40"/>
      <c r="H121" s="40">
        <f t="shared" ref="H121" si="248">F121-G121</f>
        <v>48</v>
      </c>
      <c r="I121" s="40">
        <f t="shared" ref="I121" si="249">H121/24</f>
        <v>2</v>
      </c>
      <c r="J121" s="40" t="str">
        <f t="shared" ref="J121" si="250">IF(I121=0,"No Stock","Available")</f>
        <v>Available</v>
      </c>
      <c r="K121" s="18"/>
      <c r="L121" s="18"/>
      <c r="M121" s="4"/>
    </row>
    <row r="122" spans="1:13" ht="20.25" hidden="1" x14ac:dyDescent="0.25">
      <c r="A122" s="74">
        <v>12</v>
      </c>
      <c r="B122" s="141" t="s">
        <v>279</v>
      </c>
      <c r="C122" s="40">
        <v>0</v>
      </c>
      <c r="D122" s="40">
        <f t="shared" si="246"/>
        <v>0</v>
      </c>
      <c r="E122" s="40"/>
      <c r="F122" s="40">
        <f t="shared" si="247"/>
        <v>0</v>
      </c>
      <c r="G122" s="40"/>
      <c r="H122" s="40">
        <f t="shared" ref="H122" si="251">F122-G122</f>
        <v>0</v>
      </c>
      <c r="I122" s="40">
        <f t="shared" ref="I122" si="252">H122/24</f>
        <v>0</v>
      </c>
      <c r="J122" s="40" t="str">
        <f t="shared" ref="J122" si="253">IF(I122=0,"No Stock","Available")</f>
        <v>No Stock</v>
      </c>
      <c r="K122" s="18"/>
      <c r="L122" s="18"/>
      <c r="M122" s="4"/>
    </row>
    <row r="123" spans="1:13" ht="20.25" hidden="1" x14ac:dyDescent="0.25">
      <c r="A123" s="74">
        <v>13</v>
      </c>
      <c r="B123" s="141" t="s">
        <v>84</v>
      </c>
      <c r="C123" s="40">
        <v>0</v>
      </c>
      <c r="D123" s="40">
        <f t="shared" si="233"/>
        <v>0</v>
      </c>
      <c r="E123" s="40"/>
      <c r="F123" s="40">
        <f t="shared" ref="F123:F124" si="254">E123+C123</f>
        <v>0</v>
      </c>
      <c r="G123" s="62"/>
      <c r="H123" s="62">
        <f t="shared" ref="H123:H124" si="255">F123-G123</f>
        <v>0</v>
      </c>
      <c r="I123" s="62">
        <f t="shared" ref="I123:I124" si="256">H123/24</f>
        <v>0</v>
      </c>
      <c r="J123" s="40" t="str">
        <f t="shared" ref="J123:J124" si="257">IF(I123=0,"No Stock","Available")</f>
        <v>No Stock</v>
      </c>
      <c r="K123" s="45"/>
      <c r="L123" s="18"/>
      <c r="M123" s="37"/>
    </row>
    <row r="124" spans="1:13" ht="20.25" hidden="1" x14ac:dyDescent="0.25">
      <c r="A124" s="74">
        <v>14</v>
      </c>
      <c r="B124" s="141" t="s">
        <v>85</v>
      </c>
      <c r="C124" s="3">
        <v>0</v>
      </c>
      <c r="D124" s="3">
        <f t="shared" si="233"/>
        <v>0</v>
      </c>
      <c r="E124" s="40"/>
      <c r="F124" s="3">
        <f t="shared" si="254"/>
        <v>0</v>
      </c>
      <c r="G124" s="60"/>
      <c r="H124" s="60">
        <f t="shared" si="255"/>
        <v>0</v>
      </c>
      <c r="I124" s="60">
        <f t="shared" si="256"/>
        <v>0</v>
      </c>
      <c r="J124" s="3" t="str">
        <f t="shared" si="257"/>
        <v>No Stock</v>
      </c>
      <c r="K124" s="45"/>
      <c r="L124" s="18"/>
      <c r="M124" s="37"/>
    </row>
    <row r="125" spans="1:13" ht="20.25" hidden="1" x14ac:dyDescent="0.25">
      <c r="A125" s="74">
        <v>15</v>
      </c>
      <c r="B125" s="134" t="s">
        <v>86</v>
      </c>
      <c r="C125" s="3">
        <v>0</v>
      </c>
      <c r="D125" s="3">
        <f t="shared" si="233"/>
        <v>0</v>
      </c>
      <c r="E125" s="3"/>
      <c r="F125" s="3">
        <f t="shared" ref="F125" si="258">E125+C125</f>
        <v>0</v>
      </c>
      <c r="G125" s="60"/>
      <c r="H125" s="60">
        <f t="shared" ref="H125" si="259">F125-G125</f>
        <v>0</v>
      </c>
      <c r="I125" s="60">
        <f t="shared" ref="I125" si="260">H125/24</f>
        <v>0</v>
      </c>
      <c r="J125" s="3" t="str">
        <f t="shared" ref="J125" si="261">IF(I125=0,"No Stock","Available")</f>
        <v>No Stock</v>
      </c>
      <c r="K125" s="18"/>
      <c r="L125" s="18"/>
      <c r="M125" s="37"/>
    </row>
    <row r="126" spans="1:13" ht="20.25" hidden="1" x14ac:dyDescent="0.25">
      <c r="A126" s="74">
        <v>16</v>
      </c>
      <c r="B126" s="134" t="s">
        <v>87</v>
      </c>
      <c r="C126" s="3">
        <v>0</v>
      </c>
      <c r="D126" s="3">
        <f t="shared" si="233"/>
        <v>0</v>
      </c>
      <c r="E126" s="3"/>
      <c r="F126" s="3">
        <f t="shared" ref="F126" si="262">E126+C126</f>
        <v>0</v>
      </c>
      <c r="G126" s="60"/>
      <c r="H126" s="60">
        <f t="shared" ref="H126" si="263">F126-G126</f>
        <v>0</v>
      </c>
      <c r="I126" s="60">
        <f t="shared" ref="I126" si="264">H126/24</f>
        <v>0</v>
      </c>
      <c r="J126" s="3" t="str">
        <f t="shared" ref="J126" si="265">IF(I126=0,"No Stock","Available")</f>
        <v>No Stock</v>
      </c>
      <c r="K126" s="18"/>
      <c r="L126" s="18"/>
      <c r="M126" s="37"/>
    </row>
    <row r="127" spans="1:13" ht="20.25" hidden="1" x14ac:dyDescent="0.25">
      <c r="A127" s="74">
        <v>17</v>
      </c>
      <c r="B127" s="134" t="s">
        <v>195</v>
      </c>
      <c r="C127" s="3">
        <v>0</v>
      </c>
      <c r="D127" s="3">
        <f t="shared" ref="D127" si="266">C127/24</f>
        <v>0</v>
      </c>
      <c r="E127" s="40"/>
      <c r="F127" s="3">
        <f t="shared" ref="F127" si="267">E127+C127</f>
        <v>0</v>
      </c>
      <c r="G127" s="3"/>
      <c r="H127" s="3">
        <f t="shared" ref="H127" si="268">F127-G127</f>
        <v>0</v>
      </c>
      <c r="I127" s="3">
        <f t="shared" ref="I127" si="269">H127/24</f>
        <v>0</v>
      </c>
      <c r="J127" s="3" t="str">
        <f t="shared" ref="J127" si="270">IF(I127=0,"No Stock","Available")</f>
        <v>No Stock</v>
      </c>
      <c r="K127" s="45"/>
      <c r="L127" s="18"/>
      <c r="M127" s="37"/>
    </row>
    <row r="128" spans="1:13" ht="20.25" hidden="1" x14ac:dyDescent="0.25">
      <c r="A128" s="74">
        <v>18</v>
      </c>
      <c r="B128" s="134" t="s">
        <v>198</v>
      </c>
      <c r="C128" s="3">
        <v>0</v>
      </c>
      <c r="D128" s="3">
        <f t="shared" ref="D128" si="271">C128/24</f>
        <v>0</v>
      </c>
      <c r="E128" s="3"/>
      <c r="F128" s="3">
        <f t="shared" ref="F128" si="272">E128+C128</f>
        <v>0</v>
      </c>
      <c r="G128" s="3"/>
      <c r="H128" s="3">
        <f t="shared" ref="H128" si="273">F128-G128</f>
        <v>0</v>
      </c>
      <c r="I128" s="3">
        <f t="shared" ref="I128" si="274">H128/24</f>
        <v>0</v>
      </c>
      <c r="J128" s="3" t="str">
        <f t="shared" ref="J128" si="275">IF(I128=0,"No Stock","Available")</f>
        <v>No Stock</v>
      </c>
      <c r="K128" s="45"/>
      <c r="L128" s="18"/>
      <c r="M128" s="38"/>
    </row>
    <row r="129" spans="1:13" ht="20.25" hidden="1" x14ac:dyDescent="0.25">
      <c r="A129" s="74">
        <v>19</v>
      </c>
      <c r="B129" s="134" t="s">
        <v>228</v>
      </c>
      <c r="C129" s="3">
        <v>0</v>
      </c>
      <c r="D129" s="3">
        <f t="shared" ref="D129" si="276">C129/24</f>
        <v>0</v>
      </c>
      <c r="E129" s="3"/>
      <c r="F129" s="3">
        <f t="shared" ref="F129" si="277">E129+C129</f>
        <v>0</v>
      </c>
      <c r="G129" s="3"/>
      <c r="H129" s="3">
        <f t="shared" ref="H129" si="278">F129-G129</f>
        <v>0</v>
      </c>
      <c r="I129" s="3">
        <f t="shared" ref="I129" si="279">H129/24</f>
        <v>0</v>
      </c>
      <c r="J129" s="3" t="str">
        <f t="shared" ref="J129" si="280">IF(I129=0,"No Stock","Available")</f>
        <v>No Stock</v>
      </c>
      <c r="K129" s="45"/>
      <c r="L129" s="18"/>
      <c r="M129" s="38"/>
    </row>
    <row r="130" spans="1:13" ht="20.25" hidden="1" x14ac:dyDescent="0.25">
      <c r="A130" s="74">
        <v>20</v>
      </c>
      <c r="B130" s="134" t="s">
        <v>229</v>
      </c>
      <c r="C130" s="3">
        <v>0</v>
      </c>
      <c r="D130" s="3">
        <f t="shared" ref="D130" si="281">C130/24</f>
        <v>0</v>
      </c>
      <c r="E130" s="3"/>
      <c r="F130" s="3">
        <f t="shared" ref="F130" si="282">E130+C130</f>
        <v>0</v>
      </c>
      <c r="G130" s="3"/>
      <c r="H130" s="3">
        <f t="shared" ref="H130" si="283">F130-G130</f>
        <v>0</v>
      </c>
      <c r="I130" s="3">
        <f t="shared" ref="I130" si="284">H130/24</f>
        <v>0</v>
      </c>
      <c r="J130" s="3" t="str">
        <f t="shared" ref="J130" si="285">IF(I130=0,"No Stock","Available")</f>
        <v>No Stock</v>
      </c>
      <c r="K130" s="45"/>
      <c r="L130" s="18"/>
      <c r="M130" s="38"/>
    </row>
    <row r="131" spans="1:13" ht="20.25" x14ac:dyDescent="0.25">
      <c r="A131" s="74">
        <v>21</v>
      </c>
      <c r="B131" s="134" t="s">
        <v>231</v>
      </c>
      <c r="C131" s="3">
        <v>744</v>
      </c>
      <c r="D131" s="3">
        <f t="shared" ref="D131" si="286">C131/24</f>
        <v>31</v>
      </c>
      <c r="E131" s="3"/>
      <c r="F131" s="3">
        <f t="shared" ref="F131" si="287">E131+C131</f>
        <v>744</v>
      </c>
      <c r="G131" s="3"/>
      <c r="H131" s="3">
        <f t="shared" ref="H131" si="288">F131-G131</f>
        <v>744</v>
      </c>
      <c r="I131" s="3">
        <f t="shared" ref="I131" si="289">H131/24</f>
        <v>31</v>
      </c>
      <c r="J131" s="3" t="str">
        <f t="shared" ref="J131" si="290">IF(I131=0,"No Stock","Available")</f>
        <v>Available</v>
      </c>
      <c r="K131" s="45"/>
      <c r="L131" s="18"/>
      <c r="M131" s="38"/>
    </row>
    <row r="132" spans="1:13" ht="20.25" hidden="1" x14ac:dyDescent="0.25">
      <c r="A132" s="74">
        <v>22</v>
      </c>
      <c r="B132" s="134" t="s">
        <v>230</v>
      </c>
      <c r="C132" s="3">
        <v>0</v>
      </c>
      <c r="D132" s="3">
        <f t="shared" ref="D132" si="291">C132/24</f>
        <v>0</v>
      </c>
      <c r="E132" s="3"/>
      <c r="F132" s="3">
        <f t="shared" ref="F132" si="292">E132+C132</f>
        <v>0</v>
      </c>
      <c r="G132" s="3"/>
      <c r="H132" s="3">
        <f t="shared" ref="H132" si="293">F132-G132</f>
        <v>0</v>
      </c>
      <c r="I132" s="3">
        <f t="shared" ref="I132" si="294">H132/24</f>
        <v>0</v>
      </c>
      <c r="J132" s="3" t="str">
        <f t="shared" ref="J132" si="295">IF(I132=0,"No Stock","Available")</f>
        <v>No Stock</v>
      </c>
      <c r="K132" s="45"/>
      <c r="L132" s="18"/>
      <c r="M132" s="37"/>
    </row>
    <row r="133" spans="1:13" ht="20.25" hidden="1" x14ac:dyDescent="0.25">
      <c r="A133" s="74">
        <v>23</v>
      </c>
      <c r="B133" s="134" t="s">
        <v>232</v>
      </c>
      <c r="C133" s="3">
        <v>0</v>
      </c>
      <c r="D133" s="3">
        <f t="shared" ref="D133" si="296">C133/24</f>
        <v>0</v>
      </c>
      <c r="E133" s="3"/>
      <c r="F133" s="3">
        <f t="shared" ref="F133" si="297">E133+C133</f>
        <v>0</v>
      </c>
      <c r="G133" s="3"/>
      <c r="H133" s="3">
        <f t="shared" ref="H133" si="298">F133-G133</f>
        <v>0</v>
      </c>
      <c r="I133" s="3">
        <f t="shared" ref="I133" si="299">H133/24</f>
        <v>0</v>
      </c>
      <c r="J133" s="3" t="str">
        <f t="shared" ref="J133" si="300">IF(I133=0,"No Stock","Available")</f>
        <v>No Stock</v>
      </c>
      <c r="K133" s="45"/>
      <c r="L133" s="18"/>
      <c r="M133" s="37"/>
    </row>
    <row r="134" spans="1:13" ht="20.25" hidden="1" x14ac:dyDescent="0.25">
      <c r="A134" s="74">
        <v>24</v>
      </c>
      <c r="B134" s="134" t="s">
        <v>233</v>
      </c>
      <c r="C134" s="3">
        <v>0</v>
      </c>
      <c r="D134" s="3">
        <f t="shared" ref="D134:D137" si="301">C134/24</f>
        <v>0</v>
      </c>
      <c r="E134" s="3"/>
      <c r="F134" s="3">
        <f t="shared" ref="F134:F137" si="302">E134+C134</f>
        <v>0</v>
      </c>
      <c r="G134" s="3"/>
      <c r="H134" s="3">
        <f t="shared" ref="H134:H137" si="303">F134-G134</f>
        <v>0</v>
      </c>
      <c r="I134" s="3">
        <f t="shared" ref="I134:I137" si="304">H134/24</f>
        <v>0</v>
      </c>
      <c r="J134" s="3" t="str">
        <f t="shared" ref="J134:J137" si="305">IF(I134=0,"No Stock","Available")</f>
        <v>No Stock</v>
      </c>
      <c r="K134" s="45"/>
      <c r="L134" s="18"/>
      <c r="M134" s="38"/>
    </row>
    <row r="135" spans="1:13" ht="20.25" hidden="1" x14ac:dyDescent="0.25">
      <c r="A135" s="74">
        <v>25</v>
      </c>
      <c r="B135" s="134" t="s">
        <v>236</v>
      </c>
      <c r="C135" s="3">
        <v>0</v>
      </c>
      <c r="D135" s="3">
        <f t="shared" si="301"/>
        <v>0</v>
      </c>
      <c r="E135" s="3"/>
      <c r="F135" s="3">
        <f t="shared" si="302"/>
        <v>0</v>
      </c>
      <c r="G135" s="3"/>
      <c r="H135" s="3">
        <f t="shared" si="303"/>
        <v>0</v>
      </c>
      <c r="I135" s="3">
        <f t="shared" si="304"/>
        <v>0</v>
      </c>
      <c r="J135" s="3" t="str">
        <f t="shared" si="305"/>
        <v>No Stock</v>
      </c>
      <c r="K135" s="45"/>
      <c r="L135" s="18"/>
      <c r="M135" s="38"/>
    </row>
    <row r="136" spans="1:13" ht="20.25" hidden="1" x14ac:dyDescent="0.25">
      <c r="A136" s="74">
        <v>26</v>
      </c>
      <c r="B136" s="134" t="s">
        <v>88</v>
      </c>
      <c r="C136" s="3">
        <v>0</v>
      </c>
      <c r="D136" s="3">
        <f t="shared" si="301"/>
        <v>0</v>
      </c>
      <c r="E136" s="3"/>
      <c r="F136" s="3">
        <f t="shared" si="302"/>
        <v>0</v>
      </c>
      <c r="G136" s="3"/>
      <c r="H136" s="3">
        <f t="shared" si="303"/>
        <v>0</v>
      </c>
      <c r="I136" s="3">
        <f t="shared" si="304"/>
        <v>0</v>
      </c>
      <c r="J136" s="3" t="str">
        <f t="shared" si="305"/>
        <v>No Stock</v>
      </c>
      <c r="K136" s="45"/>
      <c r="L136" s="18"/>
      <c r="M136" s="38"/>
    </row>
    <row r="137" spans="1:13" ht="20.25" hidden="1" x14ac:dyDescent="0.25">
      <c r="A137" s="74">
        <v>27</v>
      </c>
      <c r="B137" s="134" t="s">
        <v>80</v>
      </c>
      <c r="C137" s="3">
        <v>0</v>
      </c>
      <c r="D137" s="3">
        <f t="shared" si="301"/>
        <v>0</v>
      </c>
      <c r="E137" s="3"/>
      <c r="F137" s="3">
        <f t="shared" si="302"/>
        <v>0</v>
      </c>
      <c r="G137" s="3"/>
      <c r="H137" s="3">
        <f t="shared" si="303"/>
        <v>0</v>
      </c>
      <c r="I137" s="3">
        <f t="shared" si="304"/>
        <v>0</v>
      </c>
      <c r="J137" s="3" t="str">
        <f t="shared" si="305"/>
        <v>No Stock</v>
      </c>
      <c r="K137" s="45"/>
      <c r="L137" s="18"/>
      <c r="M137" s="38"/>
    </row>
    <row r="138" spans="1:13" ht="20.25" hidden="1" x14ac:dyDescent="0.25">
      <c r="A138" s="74">
        <v>28</v>
      </c>
      <c r="B138" s="134" t="s">
        <v>89</v>
      </c>
      <c r="C138" s="3">
        <v>0</v>
      </c>
      <c r="D138" s="3">
        <f t="shared" si="233"/>
        <v>0</v>
      </c>
      <c r="E138" s="3"/>
      <c r="F138" s="3">
        <f t="shared" ref="F138" si="306">E138+C138</f>
        <v>0</v>
      </c>
      <c r="G138" s="3"/>
      <c r="H138" s="3">
        <f t="shared" ref="H138" si="307">F138-G138</f>
        <v>0</v>
      </c>
      <c r="I138" s="3">
        <f t="shared" ref="I138" si="308">H138/24</f>
        <v>0</v>
      </c>
      <c r="J138" s="3" t="str">
        <f t="shared" ref="J138" si="309">IF(I138=0,"No Stock","Available")</f>
        <v>No Stock</v>
      </c>
      <c r="K138" s="18"/>
      <c r="L138" s="18"/>
      <c r="M138" s="80"/>
    </row>
    <row r="139" spans="1:13" ht="20.25" hidden="1" x14ac:dyDescent="0.25">
      <c r="A139" s="74">
        <v>29</v>
      </c>
      <c r="B139" s="134" t="s">
        <v>139</v>
      </c>
      <c r="C139" s="3">
        <v>0</v>
      </c>
      <c r="D139" s="3">
        <f t="shared" ref="D139" si="310">C139/24</f>
        <v>0</v>
      </c>
      <c r="E139" s="3"/>
      <c r="F139" s="3">
        <f t="shared" ref="F139" si="311">E139+C139</f>
        <v>0</v>
      </c>
      <c r="G139" s="3"/>
      <c r="H139" s="3">
        <f t="shared" ref="H139" si="312">F139-G139</f>
        <v>0</v>
      </c>
      <c r="I139" s="3">
        <f t="shared" ref="I139" si="313">H139/24</f>
        <v>0</v>
      </c>
      <c r="J139" s="3" t="str">
        <f t="shared" ref="J139" si="314">IF(I139=0,"No Stock","Available")</f>
        <v>No Stock</v>
      </c>
      <c r="K139" s="18"/>
      <c r="L139" s="18"/>
      <c r="M139" s="80"/>
    </row>
    <row r="140" spans="1:13" ht="20.25" hidden="1" x14ac:dyDescent="0.25">
      <c r="A140" s="74">
        <v>30</v>
      </c>
      <c r="B140" s="134" t="s">
        <v>246</v>
      </c>
      <c r="C140" s="3">
        <v>0</v>
      </c>
      <c r="D140" s="3">
        <f t="shared" ref="D140" si="315">C140/24</f>
        <v>0</v>
      </c>
      <c r="E140" s="3"/>
      <c r="F140" s="3">
        <f t="shared" ref="F140" si="316">E140+C140</f>
        <v>0</v>
      </c>
      <c r="G140" s="3"/>
      <c r="H140" s="3">
        <f t="shared" ref="H140" si="317">F140-G140</f>
        <v>0</v>
      </c>
      <c r="I140" s="3">
        <f t="shared" ref="I140" si="318">H140/24</f>
        <v>0</v>
      </c>
      <c r="J140" s="3" t="str">
        <f t="shared" ref="J140" si="319">IF(I140=0,"No Stock","Available")</f>
        <v>No Stock</v>
      </c>
      <c r="K140" s="18"/>
      <c r="L140" s="18"/>
      <c r="M140" s="80"/>
    </row>
    <row r="141" spans="1:13" ht="20.25" hidden="1" x14ac:dyDescent="0.25">
      <c r="A141" s="74">
        <v>31</v>
      </c>
      <c r="B141" s="134" t="s">
        <v>247</v>
      </c>
      <c r="C141" s="3">
        <v>0</v>
      </c>
      <c r="D141" s="3">
        <f t="shared" ref="D141" si="320">C141/24</f>
        <v>0</v>
      </c>
      <c r="E141" s="3"/>
      <c r="F141" s="3">
        <f t="shared" ref="F141" si="321">E141+C141</f>
        <v>0</v>
      </c>
      <c r="G141" s="3"/>
      <c r="H141" s="3">
        <f t="shared" ref="H141" si="322">F141-G141</f>
        <v>0</v>
      </c>
      <c r="I141" s="3">
        <f t="shared" ref="I141" si="323">H141/24</f>
        <v>0</v>
      </c>
      <c r="J141" s="3" t="str">
        <f t="shared" ref="J141" si="324">IF(I141=0,"No Stock","Available")</f>
        <v>No Stock</v>
      </c>
      <c r="K141" s="18"/>
      <c r="L141" s="18"/>
      <c r="M141" s="80"/>
    </row>
    <row r="142" spans="1:13" ht="20.25" hidden="1" x14ac:dyDescent="0.25">
      <c r="A142" s="74">
        <v>32</v>
      </c>
      <c r="B142" s="134" t="s">
        <v>248</v>
      </c>
      <c r="C142" s="3">
        <v>0</v>
      </c>
      <c r="D142" s="3">
        <f t="shared" ref="D142" si="325">C142/24</f>
        <v>0</v>
      </c>
      <c r="E142" s="3"/>
      <c r="F142" s="3">
        <f t="shared" ref="F142" si="326">E142+C142</f>
        <v>0</v>
      </c>
      <c r="G142" s="3"/>
      <c r="H142" s="3">
        <f t="shared" ref="H142" si="327">F142-G142</f>
        <v>0</v>
      </c>
      <c r="I142" s="3">
        <f t="shared" ref="I142" si="328">H142/24</f>
        <v>0</v>
      </c>
      <c r="J142" s="3" t="str">
        <f t="shared" ref="J142" si="329">IF(I142=0,"No Stock","Available")</f>
        <v>No Stock</v>
      </c>
      <c r="K142" s="18"/>
      <c r="L142" s="18"/>
      <c r="M142" s="80"/>
    </row>
    <row r="143" spans="1:13" ht="20.25" hidden="1" x14ac:dyDescent="0.25">
      <c r="A143" s="74">
        <v>33</v>
      </c>
      <c r="B143" s="134" t="s">
        <v>249</v>
      </c>
      <c r="C143" s="3">
        <v>0</v>
      </c>
      <c r="D143" s="3">
        <f t="shared" ref="D143" si="330">C143/24</f>
        <v>0</v>
      </c>
      <c r="E143" s="3"/>
      <c r="F143" s="3">
        <f t="shared" ref="F143" si="331">E143+C143</f>
        <v>0</v>
      </c>
      <c r="G143" s="3"/>
      <c r="H143" s="3">
        <f t="shared" ref="H143" si="332">F143-G143</f>
        <v>0</v>
      </c>
      <c r="I143" s="3">
        <f t="shared" ref="I143" si="333">H143/24</f>
        <v>0</v>
      </c>
      <c r="J143" s="3" t="str">
        <f t="shared" ref="J143" si="334">IF(I143=0,"No Stock","Available")</f>
        <v>No Stock</v>
      </c>
      <c r="K143" s="18"/>
      <c r="L143" s="18"/>
      <c r="M143" s="80"/>
    </row>
    <row r="144" spans="1:13" ht="20.25" hidden="1" x14ac:dyDescent="0.25">
      <c r="A144" s="74">
        <v>34</v>
      </c>
      <c r="B144" s="134" t="s">
        <v>254</v>
      </c>
      <c r="C144" s="3">
        <v>0</v>
      </c>
      <c r="D144" s="3">
        <f t="shared" ref="D144" si="335">C144/24</f>
        <v>0</v>
      </c>
      <c r="E144" s="3"/>
      <c r="F144" s="3">
        <f t="shared" ref="F144" si="336">E144+C144</f>
        <v>0</v>
      </c>
      <c r="G144" s="3"/>
      <c r="H144" s="3">
        <f t="shared" ref="H144" si="337">F144-G144</f>
        <v>0</v>
      </c>
      <c r="I144" s="3">
        <f t="shared" ref="I144" si="338">H144/24</f>
        <v>0</v>
      </c>
      <c r="J144" s="3" t="str">
        <f t="shared" ref="J144" si="339">IF(I144=0,"No Stock","Available")</f>
        <v>No Stock</v>
      </c>
      <c r="K144" s="18"/>
      <c r="L144" s="18"/>
      <c r="M144" s="80"/>
    </row>
    <row r="145" spans="1:13" ht="20.25" hidden="1" x14ac:dyDescent="0.25">
      <c r="A145" s="74">
        <v>35</v>
      </c>
      <c r="B145" s="64" t="s">
        <v>250</v>
      </c>
      <c r="C145" s="60">
        <v>0</v>
      </c>
      <c r="D145" s="60">
        <f t="shared" ref="D145" si="340">C145/24</f>
        <v>0</v>
      </c>
      <c r="E145" s="60"/>
      <c r="F145" s="3">
        <f t="shared" ref="F145" si="341">E145+C145</f>
        <v>0</v>
      </c>
      <c r="G145" s="3"/>
      <c r="H145" s="3">
        <f t="shared" ref="H145" si="342">F145-G145</f>
        <v>0</v>
      </c>
      <c r="I145" s="3">
        <f t="shared" ref="I145" si="343">H145/24</f>
        <v>0</v>
      </c>
      <c r="J145" s="3" t="str">
        <f t="shared" ref="J145" si="344">IF(I145=0,"No Stock","Available")</f>
        <v>No Stock</v>
      </c>
      <c r="K145" s="18"/>
      <c r="L145" s="18"/>
      <c r="M145" s="80"/>
    </row>
    <row r="146" spans="1:13" ht="20.25" hidden="1" x14ac:dyDescent="0.25">
      <c r="A146" s="74">
        <v>36</v>
      </c>
      <c r="B146" s="64" t="s">
        <v>258</v>
      </c>
      <c r="C146" s="60">
        <v>0</v>
      </c>
      <c r="D146" s="60">
        <f t="shared" ref="D146" si="345">C146/24</f>
        <v>0</v>
      </c>
      <c r="E146" s="60"/>
      <c r="F146" s="3">
        <f t="shared" ref="F146" si="346">E146+C146</f>
        <v>0</v>
      </c>
      <c r="G146" s="3"/>
      <c r="H146" s="3">
        <f t="shared" ref="H146" si="347">F146-G146</f>
        <v>0</v>
      </c>
      <c r="I146" s="3">
        <f t="shared" ref="I146" si="348">H146/24</f>
        <v>0</v>
      </c>
      <c r="J146" s="3" t="str">
        <f t="shared" ref="J146" si="349">IF(I146=0,"No Stock","Available")</f>
        <v>No Stock</v>
      </c>
      <c r="K146" s="18"/>
      <c r="L146" s="18"/>
      <c r="M146" s="80"/>
    </row>
    <row r="147" spans="1:13" ht="20.25" hidden="1" x14ac:dyDescent="0.25">
      <c r="A147" s="74">
        <v>37</v>
      </c>
      <c r="B147" s="64" t="s">
        <v>251</v>
      </c>
      <c r="C147" s="60">
        <v>0</v>
      </c>
      <c r="D147" s="60">
        <f t="shared" ref="D147" si="350">C147/24</f>
        <v>0</v>
      </c>
      <c r="E147" s="60"/>
      <c r="F147" s="3">
        <f t="shared" ref="F147" si="351">E147+C147</f>
        <v>0</v>
      </c>
      <c r="G147" s="3"/>
      <c r="H147" s="3">
        <f t="shared" ref="H147" si="352">F147-G147</f>
        <v>0</v>
      </c>
      <c r="I147" s="3">
        <f t="shared" ref="I147" si="353">H147/24</f>
        <v>0</v>
      </c>
      <c r="J147" s="3" t="str">
        <f t="shared" ref="J147" si="354">IF(I147=0,"No Stock","Available")</f>
        <v>No Stock</v>
      </c>
      <c r="K147" s="18"/>
      <c r="L147" s="18"/>
      <c r="M147" s="80"/>
    </row>
    <row r="148" spans="1:13" ht="20.25" x14ac:dyDescent="0.25">
      <c r="A148" s="74">
        <v>38</v>
      </c>
      <c r="B148" s="64" t="s">
        <v>252</v>
      </c>
      <c r="C148" s="60">
        <v>24</v>
      </c>
      <c r="D148" s="60">
        <f t="shared" ref="D148" si="355">C148/24</f>
        <v>1</v>
      </c>
      <c r="E148" s="60"/>
      <c r="F148" s="3">
        <f t="shared" ref="F148" si="356">E148+C148</f>
        <v>24</v>
      </c>
      <c r="G148" s="3"/>
      <c r="H148" s="3">
        <f t="shared" ref="H148" si="357">F148-G148</f>
        <v>24</v>
      </c>
      <c r="I148" s="3">
        <f t="shared" ref="I148" si="358">H148/24</f>
        <v>1</v>
      </c>
      <c r="J148" s="3" t="str">
        <f t="shared" ref="J148" si="359">IF(I148=0,"No Stock","Available")</f>
        <v>Available</v>
      </c>
      <c r="K148" s="18"/>
      <c r="L148" s="18"/>
      <c r="M148" s="80"/>
    </row>
    <row r="149" spans="1:13" ht="20.25" hidden="1" x14ac:dyDescent="0.25">
      <c r="A149" s="74">
        <v>39</v>
      </c>
      <c r="B149" s="64" t="s">
        <v>253</v>
      </c>
      <c r="C149" s="60">
        <v>0</v>
      </c>
      <c r="D149" s="60">
        <f t="shared" ref="D149:D150" si="360">C149/24</f>
        <v>0</v>
      </c>
      <c r="E149" s="60"/>
      <c r="F149" s="3">
        <f t="shared" ref="F149:F150" si="361">E149+C149</f>
        <v>0</v>
      </c>
      <c r="G149" s="3"/>
      <c r="H149" s="3">
        <f t="shared" ref="H149:H150" si="362">F149-G149</f>
        <v>0</v>
      </c>
      <c r="I149" s="3">
        <f t="shared" ref="I149:I150" si="363">H149/24</f>
        <v>0</v>
      </c>
      <c r="J149" s="3" t="str">
        <f t="shared" ref="J149:J150" si="364">IF(I149=0,"No Stock","Available")</f>
        <v>No Stock</v>
      </c>
      <c r="K149" s="18"/>
      <c r="L149" s="18"/>
      <c r="M149" s="80"/>
    </row>
    <row r="150" spans="1:13" ht="20.25" hidden="1" x14ac:dyDescent="0.25">
      <c r="A150" s="74">
        <v>40</v>
      </c>
      <c r="B150" s="64" t="s">
        <v>271</v>
      </c>
      <c r="C150" s="60">
        <v>0</v>
      </c>
      <c r="D150" s="60">
        <f t="shared" si="360"/>
        <v>0</v>
      </c>
      <c r="E150" s="60"/>
      <c r="F150" s="3">
        <f t="shared" si="361"/>
        <v>0</v>
      </c>
      <c r="G150" s="3"/>
      <c r="H150" s="3">
        <f t="shared" si="362"/>
        <v>0</v>
      </c>
      <c r="I150" s="3">
        <f t="shared" si="363"/>
        <v>0</v>
      </c>
      <c r="J150" s="3" t="str">
        <f t="shared" si="364"/>
        <v>No Stock</v>
      </c>
      <c r="K150" s="18"/>
      <c r="L150" s="18"/>
      <c r="M150" s="80"/>
    </row>
    <row r="151" spans="1:13" ht="20.25" hidden="1" x14ac:dyDescent="0.25">
      <c r="A151" s="74">
        <v>41</v>
      </c>
      <c r="B151" s="64" t="s">
        <v>90</v>
      </c>
      <c r="C151" s="60">
        <v>0</v>
      </c>
      <c r="D151" s="60">
        <f t="shared" ref="D151" si="365">C151/24</f>
        <v>0</v>
      </c>
      <c r="E151" s="60"/>
      <c r="F151" s="3">
        <f t="shared" ref="F151" si="366">E151+C151</f>
        <v>0</v>
      </c>
      <c r="G151" s="3"/>
      <c r="H151" s="3">
        <f t="shared" ref="H151" si="367">F151-G151</f>
        <v>0</v>
      </c>
      <c r="I151" s="3">
        <f t="shared" ref="I151" si="368">H151/24</f>
        <v>0</v>
      </c>
      <c r="J151" s="3" t="str">
        <f t="shared" ref="J151" si="369">IF(I151=0,"No Stock","Available")</f>
        <v>No Stock</v>
      </c>
      <c r="K151" s="18"/>
      <c r="L151" s="18"/>
      <c r="M151" s="80"/>
    </row>
    <row r="152" spans="1:13" ht="20.25" hidden="1" x14ac:dyDescent="0.25">
      <c r="A152" s="74">
        <v>42</v>
      </c>
      <c r="B152" s="64" t="s">
        <v>91</v>
      </c>
      <c r="C152" s="60">
        <v>0</v>
      </c>
      <c r="D152" s="60">
        <f t="shared" ref="D152" si="370">C152/24</f>
        <v>0</v>
      </c>
      <c r="E152" s="60"/>
      <c r="F152" s="3">
        <f t="shared" ref="F152" si="371">E152+C152</f>
        <v>0</v>
      </c>
      <c r="G152" s="3"/>
      <c r="H152" s="3">
        <f t="shared" ref="H152" si="372">F152-G152</f>
        <v>0</v>
      </c>
      <c r="I152" s="3">
        <f t="shared" ref="I152" si="373">H152/24</f>
        <v>0</v>
      </c>
      <c r="J152" s="3" t="str">
        <f t="shared" ref="J152" si="374">IF(I152=0,"No Stock","Available")</f>
        <v>No Stock</v>
      </c>
      <c r="K152" s="45"/>
      <c r="L152" s="18"/>
      <c r="M152" s="80"/>
    </row>
    <row r="153" spans="1:13" ht="20.25" hidden="1" x14ac:dyDescent="0.25">
      <c r="A153" s="74">
        <v>43</v>
      </c>
      <c r="B153" s="64" t="s">
        <v>92</v>
      </c>
      <c r="C153" s="60">
        <v>0</v>
      </c>
      <c r="D153" s="60">
        <f t="shared" ref="D153" si="375">C153/24</f>
        <v>0</v>
      </c>
      <c r="E153" s="60"/>
      <c r="F153" s="3">
        <f t="shared" ref="F153" si="376">E153+C153</f>
        <v>0</v>
      </c>
      <c r="G153" s="3"/>
      <c r="H153" s="3">
        <f t="shared" ref="H153" si="377">F153-G153</f>
        <v>0</v>
      </c>
      <c r="I153" s="3">
        <f t="shared" ref="I153" si="378">H153/24</f>
        <v>0</v>
      </c>
      <c r="J153" s="3" t="str">
        <f t="shared" ref="J153" si="379">IF(I153=0,"No Stock","Available")</f>
        <v>No Stock</v>
      </c>
      <c r="K153" s="18"/>
      <c r="L153" s="18"/>
      <c r="M153" s="80"/>
    </row>
    <row r="154" spans="1:13" ht="20.25" x14ac:dyDescent="0.25">
      <c r="A154" s="74">
        <v>44</v>
      </c>
      <c r="B154" s="64" t="s">
        <v>93</v>
      </c>
      <c r="C154" s="60">
        <v>432</v>
      </c>
      <c r="D154" s="60">
        <f t="shared" ref="D154" si="380">C154/24</f>
        <v>18</v>
      </c>
      <c r="E154" s="60"/>
      <c r="F154" s="3">
        <f t="shared" ref="F154" si="381">E154+C154</f>
        <v>432</v>
      </c>
      <c r="G154" s="3"/>
      <c r="H154" s="3">
        <f t="shared" ref="H154" si="382">F154-G154</f>
        <v>432</v>
      </c>
      <c r="I154" s="3">
        <f t="shared" ref="I154" si="383">H154/24</f>
        <v>18</v>
      </c>
      <c r="J154" s="3" t="str">
        <f t="shared" ref="J154" si="384">IF(I154=0,"No Stock","Available")</f>
        <v>Available</v>
      </c>
      <c r="K154" s="45"/>
      <c r="L154" s="18"/>
      <c r="M154" s="80"/>
    </row>
    <row r="155" spans="1:13" ht="20.25" hidden="1" x14ac:dyDescent="0.25">
      <c r="A155" s="74">
        <v>45</v>
      </c>
      <c r="B155" s="64" t="s">
        <v>94</v>
      </c>
      <c r="C155" s="60">
        <v>0</v>
      </c>
      <c r="D155" s="60">
        <f t="shared" ref="D155" si="385">C155/24</f>
        <v>0</v>
      </c>
      <c r="E155" s="60"/>
      <c r="F155" s="3">
        <f t="shared" ref="F155" si="386">E155+C155</f>
        <v>0</v>
      </c>
      <c r="G155" s="3"/>
      <c r="H155" s="3">
        <f t="shared" ref="H155" si="387">F155-G155</f>
        <v>0</v>
      </c>
      <c r="I155" s="3">
        <f t="shared" ref="I155" si="388">H155/24</f>
        <v>0</v>
      </c>
      <c r="J155" s="3" t="str">
        <f t="shared" ref="J155" si="389">IF(I155=0,"No Stock","Available")</f>
        <v>No Stock</v>
      </c>
      <c r="K155" s="45"/>
      <c r="L155" s="18"/>
      <c r="M155" s="80"/>
    </row>
    <row r="156" spans="1:13" ht="20.25" hidden="1" x14ac:dyDescent="0.25">
      <c r="A156" s="74">
        <v>46</v>
      </c>
      <c r="B156" s="64" t="s">
        <v>95</v>
      </c>
      <c r="C156" s="60">
        <v>0</v>
      </c>
      <c r="D156" s="60">
        <f t="shared" ref="D156" si="390">C156/24</f>
        <v>0</v>
      </c>
      <c r="E156" s="60"/>
      <c r="F156" s="3">
        <f t="shared" ref="F156" si="391">E156+C156</f>
        <v>0</v>
      </c>
      <c r="G156" s="3"/>
      <c r="H156" s="3">
        <f t="shared" ref="H156" si="392">F156-G156</f>
        <v>0</v>
      </c>
      <c r="I156" s="3">
        <f t="shared" ref="I156" si="393">H156/24</f>
        <v>0</v>
      </c>
      <c r="J156" s="3" t="str">
        <f t="shared" ref="J156" si="394">IF(I156=0,"No Stock","Available")</f>
        <v>No Stock</v>
      </c>
      <c r="K156" s="45"/>
      <c r="L156" s="18"/>
      <c r="M156" s="80"/>
    </row>
    <row r="157" spans="1:13" ht="20.25" hidden="1" x14ac:dyDescent="0.25">
      <c r="A157" s="74">
        <v>47</v>
      </c>
      <c r="B157" s="64" t="s">
        <v>96</v>
      </c>
      <c r="C157" s="60">
        <v>0</v>
      </c>
      <c r="D157" s="60">
        <f t="shared" ref="D157" si="395">C157/24</f>
        <v>0</v>
      </c>
      <c r="E157" s="60"/>
      <c r="F157" s="3">
        <f t="shared" ref="F157" si="396">E157+C157</f>
        <v>0</v>
      </c>
      <c r="G157" s="3"/>
      <c r="H157" s="3">
        <f t="shared" ref="H157" si="397">F157-G157</f>
        <v>0</v>
      </c>
      <c r="I157" s="3">
        <f t="shared" ref="I157" si="398">H157/24</f>
        <v>0</v>
      </c>
      <c r="J157" s="3" t="str">
        <f t="shared" ref="J157" si="399">IF(I157=0,"No Stock","Available")</f>
        <v>No Stock</v>
      </c>
      <c r="K157" s="18"/>
      <c r="L157" s="18"/>
      <c r="M157" s="80"/>
    </row>
    <row r="158" spans="1:13" ht="20.25" hidden="1" x14ac:dyDescent="0.25">
      <c r="A158" s="74">
        <v>48</v>
      </c>
      <c r="B158" s="64" t="s">
        <v>97</v>
      </c>
      <c r="C158" s="60">
        <v>0</v>
      </c>
      <c r="D158" s="60">
        <f t="shared" ref="D158" si="400">C158/24</f>
        <v>0</v>
      </c>
      <c r="E158" s="60"/>
      <c r="F158" s="60">
        <f t="shared" ref="F158" si="401">E158+C158</f>
        <v>0</v>
      </c>
      <c r="G158" s="3"/>
      <c r="H158" s="3">
        <f t="shared" ref="H158" si="402">F158-G158</f>
        <v>0</v>
      </c>
      <c r="I158" s="3">
        <f t="shared" ref="I158" si="403">H158/24</f>
        <v>0</v>
      </c>
      <c r="J158" s="3" t="str">
        <f t="shared" ref="J158" si="404">IF(I158=0,"No Stock","Available")</f>
        <v>No Stock</v>
      </c>
      <c r="K158" s="18"/>
      <c r="L158" s="18"/>
      <c r="M158" s="80"/>
    </row>
    <row r="159" spans="1:13" ht="20.25" hidden="1" x14ac:dyDescent="0.25">
      <c r="A159" s="74">
        <v>49</v>
      </c>
      <c r="B159" s="64" t="s">
        <v>98</v>
      </c>
      <c r="C159" s="60">
        <v>0</v>
      </c>
      <c r="D159" s="60">
        <f t="shared" ref="D159:D161" si="405">C159/24</f>
        <v>0</v>
      </c>
      <c r="E159" s="60"/>
      <c r="F159" s="60">
        <f t="shared" ref="F159:F161" si="406">E159+C159</f>
        <v>0</v>
      </c>
      <c r="G159" s="3"/>
      <c r="H159" s="3">
        <f t="shared" ref="H159" si="407">F159-G159</f>
        <v>0</v>
      </c>
      <c r="I159" s="3">
        <f t="shared" ref="I159" si="408">H159/24</f>
        <v>0</v>
      </c>
      <c r="J159" s="3" t="str">
        <f t="shared" ref="J159" si="409">IF(I159=0,"No Stock","Available")</f>
        <v>No Stock</v>
      </c>
      <c r="K159" s="18"/>
      <c r="L159" s="18"/>
      <c r="M159" s="80"/>
    </row>
    <row r="160" spans="1:13" ht="20.25" hidden="1" x14ac:dyDescent="0.25">
      <c r="A160" s="74">
        <v>50</v>
      </c>
      <c r="B160" s="64" t="s">
        <v>168</v>
      </c>
      <c r="C160" s="60">
        <v>0</v>
      </c>
      <c r="D160" s="60">
        <f t="shared" ref="D160:D165" si="410">C160/24</f>
        <v>0</v>
      </c>
      <c r="E160" s="60"/>
      <c r="F160" s="60">
        <f t="shared" ref="F160:F165" si="411">E160+C160</f>
        <v>0</v>
      </c>
      <c r="G160" s="3"/>
      <c r="H160" s="3">
        <f t="shared" ref="H160:H164" si="412">F160-G160</f>
        <v>0</v>
      </c>
      <c r="I160" s="3">
        <f t="shared" ref="I160:I164" si="413">H160/24</f>
        <v>0</v>
      </c>
      <c r="J160" s="3" t="str">
        <f t="shared" ref="J160:J164" si="414">IF(I160=0,"No Stock","Available")</f>
        <v>No Stock</v>
      </c>
      <c r="K160" s="23"/>
      <c r="L160" s="18"/>
      <c r="M160" s="122"/>
    </row>
    <row r="161" spans="1:13" ht="20.25" hidden="1" x14ac:dyDescent="0.25">
      <c r="A161" s="74">
        <v>51</v>
      </c>
      <c r="B161" s="134" t="s">
        <v>255</v>
      </c>
      <c r="C161" s="3">
        <v>0</v>
      </c>
      <c r="D161" s="60">
        <f t="shared" si="405"/>
        <v>0</v>
      </c>
      <c r="E161" s="66"/>
      <c r="F161" s="60">
        <f t="shared" si="406"/>
        <v>0</v>
      </c>
      <c r="G161" s="26"/>
      <c r="H161" s="3">
        <f t="shared" si="412"/>
        <v>0</v>
      </c>
      <c r="I161" s="3">
        <f t="shared" si="413"/>
        <v>0</v>
      </c>
      <c r="J161" s="3" t="str">
        <f t="shared" si="414"/>
        <v>No Stock</v>
      </c>
      <c r="K161" s="23"/>
      <c r="L161" s="18"/>
      <c r="M161" s="122"/>
    </row>
    <row r="162" spans="1:13" ht="20.25" x14ac:dyDescent="0.25">
      <c r="A162" s="74">
        <v>52</v>
      </c>
      <c r="B162" s="68" t="s">
        <v>261</v>
      </c>
      <c r="C162" s="66">
        <v>120</v>
      </c>
      <c r="D162" s="60">
        <f t="shared" si="410"/>
        <v>5</v>
      </c>
      <c r="E162" s="66"/>
      <c r="F162" s="66">
        <f t="shared" si="411"/>
        <v>120</v>
      </c>
      <c r="G162" s="26"/>
      <c r="H162" s="26">
        <f t="shared" si="412"/>
        <v>120</v>
      </c>
      <c r="I162" s="26">
        <f t="shared" si="413"/>
        <v>5</v>
      </c>
      <c r="J162" s="3" t="str">
        <f t="shared" si="414"/>
        <v>Available</v>
      </c>
      <c r="K162" s="23"/>
      <c r="L162" s="18"/>
      <c r="M162" s="122"/>
    </row>
    <row r="163" spans="1:13" ht="20.25" hidden="1" x14ac:dyDescent="0.25">
      <c r="A163" s="74">
        <v>53</v>
      </c>
      <c r="B163" s="135" t="s">
        <v>256</v>
      </c>
      <c r="C163" s="66">
        <v>0</v>
      </c>
      <c r="D163" s="60">
        <f t="shared" si="410"/>
        <v>0</v>
      </c>
      <c r="E163" s="26"/>
      <c r="F163" s="66">
        <f t="shared" si="411"/>
        <v>0</v>
      </c>
      <c r="G163" s="26"/>
      <c r="H163" s="26">
        <f t="shared" si="412"/>
        <v>0</v>
      </c>
      <c r="I163" s="26">
        <f t="shared" si="413"/>
        <v>0</v>
      </c>
      <c r="J163" s="3" t="str">
        <f t="shared" si="414"/>
        <v>No Stock</v>
      </c>
      <c r="K163" s="23"/>
      <c r="L163" s="18"/>
      <c r="M163" s="122"/>
    </row>
    <row r="164" spans="1:13" ht="20.25" x14ac:dyDescent="0.25">
      <c r="A164" s="74">
        <v>54</v>
      </c>
      <c r="B164" s="135" t="s">
        <v>257</v>
      </c>
      <c r="C164" s="26">
        <v>72</v>
      </c>
      <c r="D164" s="3">
        <f t="shared" si="410"/>
        <v>3</v>
      </c>
      <c r="E164" s="26"/>
      <c r="F164" s="66">
        <f t="shared" si="411"/>
        <v>72</v>
      </c>
      <c r="G164" s="26"/>
      <c r="H164" s="26">
        <f t="shared" si="412"/>
        <v>72</v>
      </c>
      <c r="I164" s="26">
        <f t="shared" si="413"/>
        <v>3</v>
      </c>
      <c r="J164" s="3" t="str">
        <f t="shared" si="414"/>
        <v>Available</v>
      </c>
      <c r="K164" s="23"/>
      <c r="L164" s="18"/>
      <c r="M164" s="122"/>
    </row>
    <row r="165" spans="1:13" ht="20.25" x14ac:dyDescent="0.25">
      <c r="A165" s="74">
        <v>55</v>
      </c>
      <c r="B165" s="135" t="s">
        <v>263</v>
      </c>
      <c r="C165" s="26">
        <v>48</v>
      </c>
      <c r="D165" s="3">
        <f t="shared" si="410"/>
        <v>2</v>
      </c>
      <c r="E165" s="26"/>
      <c r="F165" s="66">
        <f t="shared" si="411"/>
        <v>48</v>
      </c>
      <c r="G165" s="26"/>
      <c r="H165" s="26">
        <f t="shared" ref="H165:H166" si="415">F165-G165</f>
        <v>48</v>
      </c>
      <c r="I165" s="26">
        <f t="shared" ref="I165:I166" si="416">H165/24</f>
        <v>2</v>
      </c>
      <c r="J165" s="3" t="str">
        <f t="shared" ref="J165:J166" si="417">IF(I165=0,"No Stock","Available")</f>
        <v>Available</v>
      </c>
      <c r="K165" s="23"/>
      <c r="L165" s="18"/>
      <c r="M165" s="122"/>
    </row>
    <row r="166" spans="1:13" ht="20.25" x14ac:dyDescent="0.25">
      <c r="A166" s="74">
        <v>56</v>
      </c>
      <c r="B166" s="135" t="s">
        <v>295</v>
      </c>
      <c r="C166" s="26">
        <v>24</v>
      </c>
      <c r="D166" s="3">
        <f t="shared" ref="D166:D167" si="418">C166/24</f>
        <v>1</v>
      </c>
      <c r="E166" s="26"/>
      <c r="F166" s="66">
        <f t="shared" ref="F166:F167" si="419">E166+C166</f>
        <v>24</v>
      </c>
      <c r="G166" s="26"/>
      <c r="H166" s="26">
        <f t="shared" si="415"/>
        <v>24</v>
      </c>
      <c r="I166" s="26">
        <f t="shared" si="416"/>
        <v>1</v>
      </c>
      <c r="J166" s="3" t="str">
        <f t="shared" si="417"/>
        <v>Available</v>
      </c>
      <c r="K166" s="23"/>
      <c r="L166" s="18"/>
      <c r="M166" s="122"/>
    </row>
    <row r="167" spans="1:13" ht="20.25" x14ac:dyDescent="0.25">
      <c r="A167" s="74">
        <v>57</v>
      </c>
      <c r="B167" s="135" t="s">
        <v>296</v>
      </c>
      <c r="C167" s="26">
        <v>72</v>
      </c>
      <c r="D167" s="3">
        <f t="shared" si="418"/>
        <v>3</v>
      </c>
      <c r="E167" s="26"/>
      <c r="F167" s="66">
        <f t="shared" si="419"/>
        <v>72</v>
      </c>
      <c r="G167" s="26"/>
      <c r="H167" s="26">
        <f t="shared" ref="H167" si="420">F167-G167</f>
        <v>72</v>
      </c>
      <c r="I167" s="26">
        <f t="shared" ref="I167" si="421">H167/24</f>
        <v>3</v>
      </c>
      <c r="J167" s="3" t="str">
        <f t="shared" ref="J167" si="422">IF(I167=0,"No Stock","Available")</f>
        <v>Available</v>
      </c>
      <c r="K167" s="23"/>
      <c r="L167" s="18"/>
      <c r="M167" s="122"/>
    </row>
    <row r="168" spans="1:13" ht="20.25" hidden="1" x14ac:dyDescent="0.25">
      <c r="A168" s="74">
        <v>58</v>
      </c>
      <c r="B168" s="135" t="s">
        <v>99</v>
      </c>
      <c r="C168" s="26">
        <v>0</v>
      </c>
      <c r="D168" s="3">
        <f t="shared" ref="D168:D180" si="423">C168/24</f>
        <v>0</v>
      </c>
      <c r="E168" s="26"/>
      <c r="F168" s="26">
        <f t="shared" ref="F168:F170" si="424">C168+E168</f>
        <v>0</v>
      </c>
      <c r="G168" s="26"/>
      <c r="H168" s="26">
        <f t="shared" ref="H168:H169" si="425">F168-G168</f>
        <v>0</v>
      </c>
      <c r="I168" s="26">
        <f t="shared" ref="I168:I169" si="426">H168/24</f>
        <v>0</v>
      </c>
      <c r="J168" s="3" t="str">
        <f t="shared" ref="J168:J169" si="427">IF(I168=0,"No Stock","Available")</f>
        <v>No Stock</v>
      </c>
      <c r="K168" s="45">
        <v>235</v>
      </c>
      <c r="L168" s="18">
        <f t="shared" ref="L168" si="428">H168*K168</f>
        <v>0</v>
      </c>
      <c r="M168" s="4"/>
    </row>
    <row r="169" spans="1:13" ht="20.25" hidden="1" x14ac:dyDescent="0.25">
      <c r="A169" s="74">
        <v>59</v>
      </c>
      <c r="B169" s="135" t="s">
        <v>286</v>
      </c>
      <c r="C169" s="26">
        <v>0</v>
      </c>
      <c r="D169" s="3">
        <f t="shared" si="423"/>
        <v>0</v>
      </c>
      <c r="E169" s="26"/>
      <c r="F169" s="26">
        <f t="shared" si="424"/>
        <v>0</v>
      </c>
      <c r="G169" s="26"/>
      <c r="H169" s="26">
        <f t="shared" si="425"/>
        <v>0</v>
      </c>
      <c r="I169" s="26">
        <f t="shared" si="426"/>
        <v>0</v>
      </c>
      <c r="J169" s="3" t="str">
        <f t="shared" si="427"/>
        <v>No Stock</v>
      </c>
      <c r="K169" s="45"/>
      <c r="L169" s="18"/>
      <c r="M169" s="4"/>
    </row>
    <row r="170" spans="1:13" ht="20.25" hidden="1" x14ac:dyDescent="0.25">
      <c r="A170" s="74">
        <v>60</v>
      </c>
      <c r="B170" s="135" t="s">
        <v>287</v>
      </c>
      <c r="C170" s="26">
        <v>0</v>
      </c>
      <c r="D170" s="3">
        <f t="shared" si="423"/>
        <v>0</v>
      </c>
      <c r="E170" s="26"/>
      <c r="F170" s="26">
        <f t="shared" si="424"/>
        <v>0</v>
      </c>
      <c r="G170" s="26"/>
      <c r="H170" s="26">
        <f t="shared" ref="H170" si="429">F170-G170</f>
        <v>0</v>
      </c>
      <c r="I170" s="26">
        <f t="shared" ref="I170" si="430">H170/24</f>
        <v>0</v>
      </c>
      <c r="J170" s="3" t="str">
        <f t="shared" ref="J170" si="431">IF(I170=0,"No Stock","Available")</f>
        <v>No Stock</v>
      </c>
      <c r="K170" s="45"/>
      <c r="L170" s="18"/>
      <c r="M170" s="4"/>
    </row>
    <row r="171" spans="1:13" ht="20.25" hidden="1" x14ac:dyDescent="0.25">
      <c r="A171" s="74">
        <v>61</v>
      </c>
      <c r="B171" s="135" t="s">
        <v>202</v>
      </c>
      <c r="C171" s="26">
        <v>0</v>
      </c>
      <c r="D171" s="3">
        <f t="shared" ref="D171" si="432">C171/24</f>
        <v>0</v>
      </c>
      <c r="E171" s="26"/>
      <c r="F171" s="26">
        <f t="shared" ref="F171" si="433">C171+E171</f>
        <v>0</v>
      </c>
      <c r="G171" s="26"/>
      <c r="H171" s="26">
        <f t="shared" ref="H171" si="434">F171-G171</f>
        <v>0</v>
      </c>
      <c r="I171" s="26">
        <f t="shared" ref="I171" si="435">H171/24</f>
        <v>0</v>
      </c>
      <c r="J171" s="3" t="str">
        <f t="shared" ref="J171" si="436">IF(I171=0,"No Stock","Available")</f>
        <v>No Stock</v>
      </c>
      <c r="K171" s="45"/>
      <c r="L171" s="18"/>
      <c r="M171" s="8" t="s">
        <v>49</v>
      </c>
    </row>
    <row r="172" spans="1:13" ht="20.25" hidden="1" x14ac:dyDescent="0.25">
      <c r="A172" s="74">
        <v>62</v>
      </c>
      <c r="B172" s="135" t="s">
        <v>129</v>
      </c>
      <c r="C172" s="26">
        <v>0</v>
      </c>
      <c r="D172" s="3">
        <f t="shared" ref="D172" si="437">C172/24</f>
        <v>0</v>
      </c>
      <c r="E172" s="26"/>
      <c r="F172" s="26">
        <f t="shared" ref="F172" si="438">C172+E172</f>
        <v>0</v>
      </c>
      <c r="G172" s="26"/>
      <c r="H172" s="26">
        <f t="shared" ref="H172" si="439">F172-G172</f>
        <v>0</v>
      </c>
      <c r="I172" s="26">
        <f t="shared" ref="I172" si="440">H172/24</f>
        <v>0</v>
      </c>
      <c r="J172" s="3" t="str">
        <f t="shared" ref="J172" si="441">IF(I172=0,"No Stock","Available")</f>
        <v>No Stock</v>
      </c>
      <c r="K172" s="18"/>
      <c r="L172" s="18"/>
      <c r="M172" s="8" t="s">
        <v>49</v>
      </c>
    </row>
    <row r="173" spans="1:13" ht="20.25" x14ac:dyDescent="0.25">
      <c r="A173" s="74">
        <v>63</v>
      </c>
      <c r="B173" s="135" t="s">
        <v>127</v>
      </c>
      <c r="C173" s="26">
        <v>24</v>
      </c>
      <c r="D173" s="3">
        <f t="shared" ref="D173" si="442">C173/24</f>
        <v>1</v>
      </c>
      <c r="E173" s="26"/>
      <c r="F173" s="26">
        <f t="shared" ref="F173" si="443">C173+E173</f>
        <v>24</v>
      </c>
      <c r="G173" s="26"/>
      <c r="H173" s="26">
        <f t="shared" ref="H173" si="444">F173-G173</f>
        <v>24</v>
      </c>
      <c r="I173" s="26">
        <f t="shared" ref="I173" si="445">H173/24</f>
        <v>1</v>
      </c>
      <c r="J173" s="3" t="str">
        <f t="shared" ref="J173" si="446">IF(I173=0,"No Stock","Available")</f>
        <v>Available</v>
      </c>
      <c r="K173" s="45"/>
      <c r="L173" s="18"/>
      <c r="M173" s="8" t="s">
        <v>49</v>
      </c>
    </row>
    <row r="174" spans="1:13" ht="20.25" x14ac:dyDescent="0.25">
      <c r="A174" s="74">
        <v>64</v>
      </c>
      <c r="B174" s="135" t="s">
        <v>128</v>
      </c>
      <c r="C174" s="26">
        <v>48</v>
      </c>
      <c r="D174" s="3">
        <f t="shared" ref="D174" si="447">C174/24</f>
        <v>2</v>
      </c>
      <c r="E174" s="26"/>
      <c r="F174" s="26">
        <f t="shared" ref="F174" si="448">C174+E174</f>
        <v>48</v>
      </c>
      <c r="G174" s="26"/>
      <c r="H174" s="26">
        <f t="shared" ref="H174" si="449">F174-G174</f>
        <v>48</v>
      </c>
      <c r="I174" s="26">
        <f t="shared" ref="I174" si="450">H174/24</f>
        <v>2</v>
      </c>
      <c r="J174" s="3" t="str">
        <f t="shared" ref="J174" si="451">IF(I174=0,"No Stock","Available")</f>
        <v>Available</v>
      </c>
      <c r="K174" s="45"/>
      <c r="L174" s="18"/>
      <c r="M174" s="8" t="s">
        <v>49</v>
      </c>
    </row>
    <row r="175" spans="1:13" ht="20.25" hidden="1" x14ac:dyDescent="0.25">
      <c r="A175" s="74">
        <v>65</v>
      </c>
      <c r="B175" s="135" t="s">
        <v>123</v>
      </c>
      <c r="C175" s="26">
        <v>0</v>
      </c>
      <c r="D175" s="3">
        <f t="shared" ref="D175" si="452">C175/24</f>
        <v>0</v>
      </c>
      <c r="E175" s="26"/>
      <c r="F175" s="26">
        <f t="shared" ref="F175" si="453">C175+E175</f>
        <v>0</v>
      </c>
      <c r="G175" s="26"/>
      <c r="H175" s="26">
        <f t="shared" ref="H175" si="454">F175-G175</f>
        <v>0</v>
      </c>
      <c r="I175" s="26">
        <f t="shared" ref="I175" si="455">H175/24</f>
        <v>0</v>
      </c>
      <c r="J175" s="3" t="str">
        <f t="shared" ref="J175" si="456">IF(I175=0,"No Stock","Available")</f>
        <v>No Stock</v>
      </c>
      <c r="K175" s="45"/>
      <c r="L175" s="18"/>
      <c r="M175" s="8" t="s">
        <v>49</v>
      </c>
    </row>
    <row r="176" spans="1:13" ht="20.25" hidden="1" x14ac:dyDescent="0.25">
      <c r="A176" s="74">
        <v>66</v>
      </c>
      <c r="B176" s="135" t="s">
        <v>122</v>
      </c>
      <c r="C176" s="26">
        <v>0</v>
      </c>
      <c r="D176" s="3">
        <f t="shared" ref="D176" si="457">C176/24</f>
        <v>0</v>
      </c>
      <c r="E176" s="26"/>
      <c r="F176" s="26">
        <f t="shared" ref="F176" si="458">C176+E176</f>
        <v>0</v>
      </c>
      <c r="G176" s="26"/>
      <c r="H176" s="26">
        <f t="shared" ref="H176" si="459">F176-G176</f>
        <v>0</v>
      </c>
      <c r="I176" s="26">
        <f t="shared" ref="I176" si="460">H176/24</f>
        <v>0</v>
      </c>
      <c r="J176" s="3" t="str">
        <f t="shared" ref="J176" si="461">IF(I176=0,"No Stock","Available")</f>
        <v>No Stock</v>
      </c>
      <c r="K176" s="45"/>
      <c r="L176" s="18"/>
      <c r="M176" s="8" t="s">
        <v>49</v>
      </c>
    </row>
    <row r="177" spans="1:13" ht="20.25" hidden="1" x14ac:dyDescent="0.25">
      <c r="A177" s="74">
        <v>67</v>
      </c>
      <c r="B177" s="135" t="s">
        <v>121</v>
      </c>
      <c r="C177" s="26">
        <v>0</v>
      </c>
      <c r="D177" s="3">
        <f t="shared" ref="D177:D179" si="462">C177/24</f>
        <v>0</v>
      </c>
      <c r="E177" s="26"/>
      <c r="F177" s="26">
        <f t="shared" ref="F177:F179" si="463">C177+E177</f>
        <v>0</v>
      </c>
      <c r="G177" s="26"/>
      <c r="H177" s="26">
        <f t="shared" ref="H177:H179" si="464">F177-G177</f>
        <v>0</v>
      </c>
      <c r="I177" s="26">
        <f t="shared" ref="I177:I179" si="465">H177/24</f>
        <v>0</v>
      </c>
      <c r="J177" s="3" t="str">
        <f t="shared" ref="J177:J179" si="466">IF(I177=0,"No Stock","Available")</f>
        <v>No Stock</v>
      </c>
      <c r="K177" s="45"/>
      <c r="L177" s="18"/>
      <c r="M177" s="8" t="s">
        <v>49</v>
      </c>
    </row>
    <row r="178" spans="1:13" ht="20.25" x14ac:dyDescent="0.25">
      <c r="A178" s="74">
        <v>68</v>
      </c>
      <c r="B178" s="135" t="s">
        <v>314</v>
      </c>
      <c r="C178" s="26">
        <v>24</v>
      </c>
      <c r="D178" s="3">
        <f t="shared" si="462"/>
        <v>1</v>
      </c>
      <c r="E178" s="26"/>
      <c r="F178" s="26">
        <f t="shared" si="463"/>
        <v>24</v>
      </c>
      <c r="G178" s="26"/>
      <c r="H178" s="26">
        <f t="shared" si="464"/>
        <v>24</v>
      </c>
      <c r="I178" s="26">
        <f t="shared" si="465"/>
        <v>1</v>
      </c>
      <c r="J178" s="3" t="str">
        <f t="shared" si="466"/>
        <v>Available</v>
      </c>
      <c r="K178" s="45"/>
      <c r="L178" s="18"/>
      <c r="M178" s="8"/>
    </row>
    <row r="179" spans="1:13" ht="20.25" hidden="1" x14ac:dyDescent="0.25">
      <c r="A179" s="74">
        <v>69</v>
      </c>
      <c r="B179" s="135" t="s">
        <v>283</v>
      </c>
      <c r="C179" s="26">
        <v>0</v>
      </c>
      <c r="D179" s="3">
        <f t="shared" si="462"/>
        <v>0</v>
      </c>
      <c r="E179" s="26"/>
      <c r="F179" s="26">
        <f t="shared" si="463"/>
        <v>0</v>
      </c>
      <c r="G179" s="26"/>
      <c r="H179" s="26">
        <f t="shared" si="464"/>
        <v>0</v>
      </c>
      <c r="I179" s="26">
        <f t="shared" si="465"/>
        <v>0</v>
      </c>
      <c r="J179" s="3" t="str">
        <f t="shared" si="466"/>
        <v>No Stock</v>
      </c>
      <c r="K179" s="45"/>
      <c r="L179" s="18"/>
      <c r="M179" s="8"/>
    </row>
    <row r="180" spans="1:13" ht="20.25" hidden="1" x14ac:dyDescent="0.25">
      <c r="A180" s="74">
        <v>70</v>
      </c>
      <c r="B180" s="135" t="s">
        <v>141</v>
      </c>
      <c r="C180" s="26">
        <v>0</v>
      </c>
      <c r="D180" s="3">
        <f t="shared" si="423"/>
        <v>0</v>
      </c>
      <c r="E180" s="26"/>
      <c r="F180" s="26">
        <f t="shared" ref="F180" si="467">C180+E180</f>
        <v>0</v>
      </c>
      <c r="G180" s="26"/>
      <c r="H180" s="26">
        <f t="shared" ref="H180" si="468">F180-G180</f>
        <v>0</v>
      </c>
      <c r="I180" s="26">
        <f t="shared" ref="I180" si="469">H180/24</f>
        <v>0</v>
      </c>
      <c r="J180" s="3" t="str">
        <f t="shared" ref="J180" si="470">IF(I180=0,"No Stock","Available")</f>
        <v>No Stock</v>
      </c>
      <c r="K180" s="18"/>
      <c r="L180" s="18"/>
      <c r="M180" s="37"/>
    </row>
    <row r="181" spans="1:13" ht="23.25" thickBot="1" x14ac:dyDescent="0.3">
      <c r="A181" s="164" t="s">
        <v>1</v>
      </c>
      <c r="B181" s="165"/>
      <c r="C181" s="75">
        <f t="shared" ref="C181:I181" si="471">SUM(C110:C180)</f>
        <v>4152</v>
      </c>
      <c r="D181" s="75">
        <f t="shared" si="471"/>
        <v>173</v>
      </c>
      <c r="E181" s="75">
        <f t="shared" si="471"/>
        <v>1368</v>
      </c>
      <c r="F181" s="75">
        <f t="shared" si="471"/>
        <v>5520</v>
      </c>
      <c r="G181" s="75">
        <f t="shared" si="471"/>
        <v>0</v>
      </c>
      <c r="H181" s="75">
        <f t="shared" si="471"/>
        <v>5520</v>
      </c>
      <c r="I181" s="75">
        <f t="shared" si="471"/>
        <v>230</v>
      </c>
      <c r="J181" s="76"/>
      <c r="K181" s="47"/>
      <c r="L181" s="20">
        <f>SUM(L111:L168)</f>
        <v>6360</v>
      </c>
      <c r="M181" s="81"/>
    </row>
    <row r="182" spans="1:13" ht="20.25" x14ac:dyDescent="0.25">
      <c r="A182" s="126" t="s">
        <v>19</v>
      </c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8"/>
    </row>
    <row r="183" spans="1:13" ht="47.25" x14ac:dyDescent="0.25">
      <c r="A183" s="13" t="s">
        <v>0</v>
      </c>
      <c r="B183" s="11" t="s">
        <v>4</v>
      </c>
      <c r="C183" s="9" t="s">
        <v>9</v>
      </c>
      <c r="D183" s="9" t="s">
        <v>5</v>
      </c>
      <c r="E183" s="9" t="s">
        <v>14</v>
      </c>
      <c r="F183" s="9" t="s">
        <v>6</v>
      </c>
      <c r="G183" s="9" t="s">
        <v>12</v>
      </c>
      <c r="H183" s="9" t="s">
        <v>7</v>
      </c>
      <c r="I183" s="9" t="s">
        <v>8</v>
      </c>
      <c r="J183" s="115" t="s">
        <v>2</v>
      </c>
      <c r="K183" s="116"/>
      <c r="L183" s="116"/>
      <c r="M183" s="117"/>
    </row>
    <row r="184" spans="1:13" ht="20.25" x14ac:dyDescent="0.25">
      <c r="A184" s="162" t="s">
        <v>10</v>
      </c>
      <c r="B184" s="163"/>
      <c r="C184" s="14">
        <f t="shared" ref="C184:H184" si="472">C181</f>
        <v>4152</v>
      </c>
      <c r="D184" s="14">
        <f>C184/24</f>
        <v>173</v>
      </c>
      <c r="E184" s="14">
        <f t="shared" si="472"/>
        <v>1368</v>
      </c>
      <c r="F184" s="14">
        <f t="shared" si="472"/>
        <v>5520</v>
      </c>
      <c r="G184" s="14">
        <f t="shared" si="472"/>
        <v>0</v>
      </c>
      <c r="H184" s="14">
        <f t="shared" si="472"/>
        <v>5520</v>
      </c>
      <c r="I184" s="14">
        <f>SUM(I181)</f>
        <v>230</v>
      </c>
      <c r="J184" s="14"/>
      <c r="K184" s="48"/>
      <c r="L184" s="12"/>
      <c r="M184" s="84"/>
    </row>
    <row r="185" spans="1:13" ht="20.25" x14ac:dyDescent="0.25">
      <c r="A185" s="74">
        <v>1</v>
      </c>
      <c r="B185" s="64" t="s">
        <v>145</v>
      </c>
      <c r="C185" s="60">
        <v>24</v>
      </c>
      <c r="D185" s="60">
        <f>C185/24</f>
        <v>1</v>
      </c>
      <c r="E185" s="60"/>
      <c r="F185" s="3">
        <f>C185+E185</f>
        <v>24</v>
      </c>
      <c r="G185" s="3"/>
      <c r="H185" s="3">
        <f>F185-G185</f>
        <v>24</v>
      </c>
      <c r="I185" s="3">
        <f>H185/24</f>
        <v>1</v>
      </c>
      <c r="J185" s="60" t="str">
        <f t="shared" ref="J185" si="473">IF(I185=0,"No Stock","Available")</f>
        <v>Available</v>
      </c>
      <c r="K185" s="21"/>
      <c r="L185" s="19"/>
      <c r="M185" s="66"/>
    </row>
    <row r="186" spans="1:13" ht="20.25" x14ac:dyDescent="0.25">
      <c r="A186" s="74">
        <v>2</v>
      </c>
      <c r="B186" s="68" t="s">
        <v>208</v>
      </c>
      <c r="C186" s="60">
        <v>216</v>
      </c>
      <c r="D186" s="60">
        <f t="shared" ref="D186:D221" si="474">C186/24</f>
        <v>9</v>
      </c>
      <c r="E186" s="60"/>
      <c r="F186" s="3">
        <f t="shared" ref="F186:F221" si="475">C186+E186</f>
        <v>216</v>
      </c>
      <c r="G186" s="3"/>
      <c r="H186" s="3">
        <f t="shared" ref="H186:H221" si="476">F186-G186</f>
        <v>216</v>
      </c>
      <c r="I186" s="3">
        <f t="shared" ref="I186:I221" si="477">H186/24</f>
        <v>9</v>
      </c>
      <c r="J186" s="60" t="str">
        <f t="shared" ref="J186:J221" si="478">IF(I186=0,"No Stock","Available")</f>
        <v>Available</v>
      </c>
      <c r="K186" s="21"/>
      <c r="L186" s="19"/>
      <c r="M186" s="66"/>
    </row>
    <row r="187" spans="1:13" ht="20.25" hidden="1" x14ac:dyDescent="0.25">
      <c r="A187" s="74">
        <v>3</v>
      </c>
      <c r="B187" s="68" t="s">
        <v>212</v>
      </c>
      <c r="C187" s="60">
        <v>0</v>
      </c>
      <c r="D187" s="60">
        <f t="shared" si="474"/>
        <v>0</v>
      </c>
      <c r="E187" s="60"/>
      <c r="F187" s="3">
        <f t="shared" si="475"/>
        <v>0</v>
      </c>
      <c r="G187" s="3"/>
      <c r="H187" s="3">
        <f t="shared" si="476"/>
        <v>0</v>
      </c>
      <c r="I187" s="3">
        <f t="shared" si="477"/>
        <v>0</v>
      </c>
      <c r="J187" s="60" t="str">
        <f t="shared" si="478"/>
        <v>No Stock</v>
      </c>
      <c r="K187" s="21"/>
      <c r="L187" s="19"/>
      <c r="M187" s="66"/>
    </row>
    <row r="188" spans="1:13" ht="20.25" hidden="1" x14ac:dyDescent="0.25">
      <c r="A188" s="74">
        <v>4</v>
      </c>
      <c r="B188" s="68" t="s">
        <v>213</v>
      </c>
      <c r="C188" s="60">
        <v>0</v>
      </c>
      <c r="D188" s="60">
        <f t="shared" si="474"/>
        <v>0</v>
      </c>
      <c r="E188" s="60"/>
      <c r="F188" s="3">
        <f t="shared" si="475"/>
        <v>0</v>
      </c>
      <c r="G188" s="3"/>
      <c r="H188" s="3">
        <f>F188-G188</f>
        <v>0</v>
      </c>
      <c r="I188" s="3">
        <f t="shared" si="477"/>
        <v>0</v>
      </c>
      <c r="J188" s="60" t="str">
        <f t="shared" si="478"/>
        <v>No Stock</v>
      </c>
      <c r="K188" s="21"/>
      <c r="L188" s="19"/>
      <c r="M188" s="66"/>
    </row>
    <row r="189" spans="1:13" ht="20.25" x14ac:dyDescent="0.25">
      <c r="A189" s="74">
        <v>5</v>
      </c>
      <c r="B189" s="68" t="s">
        <v>206</v>
      </c>
      <c r="C189" s="60">
        <v>120</v>
      </c>
      <c r="D189" s="60">
        <f t="shared" si="474"/>
        <v>5</v>
      </c>
      <c r="E189" s="60"/>
      <c r="F189" s="3">
        <f t="shared" si="475"/>
        <v>120</v>
      </c>
      <c r="G189" s="3"/>
      <c r="H189" s="3">
        <f t="shared" si="476"/>
        <v>120</v>
      </c>
      <c r="I189" s="3">
        <f t="shared" si="477"/>
        <v>5</v>
      </c>
      <c r="J189" s="60" t="str">
        <f t="shared" si="478"/>
        <v>Available</v>
      </c>
      <c r="K189" s="21"/>
      <c r="L189" s="19"/>
      <c r="M189" s="66"/>
    </row>
    <row r="190" spans="1:13" ht="20.25" x14ac:dyDescent="0.25">
      <c r="A190" s="74">
        <v>6</v>
      </c>
      <c r="B190" s="68" t="s">
        <v>211</v>
      </c>
      <c r="C190" s="60">
        <v>72</v>
      </c>
      <c r="D190" s="60">
        <f t="shared" si="474"/>
        <v>3</v>
      </c>
      <c r="E190" s="60"/>
      <c r="F190" s="3">
        <f t="shared" si="475"/>
        <v>72</v>
      </c>
      <c r="G190" s="3"/>
      <c r="H190" s="3">
        <f t="shared" si="476"/>
        <v>72</v>
      </c>
      <c r="I190" s="3">
        <f t="shared" si="477"/>
        <v>3</v>
      </c>
      <c r="J190" s="60" t="str">
        <f t="shared" si="478"/>
        <v>Available</v>
      </c>
      <c r="K190" s="21"/>
      <c r="L190" s="19"/>
      <c r="M190" s="66"/>
    </row>
    <row r="191" spans="1:13" ht="20.25" x14ac:dyDescent="0.25">
      <c r="A191" s="74">
        <v>7</v>
      </c>
      <c r="B191" s="134" t="s">
        <v>207</v>
      </c>
      <c r="C191" s="3">
        <v>504</v>
      </c>
      <c r="D191" s="3">
        <f t="shared" si="474"/>
        <v>21</v>
      </c>
      <c r="E191" s="3"/>
      <c r="F191" s="3">
        <f t="shared" si="475"/>
        <v>504</v>
      </c>
      <c r="G191" s="3"/>
      <c r="H191" s="3">
        <f t="shared" si="476"/>
        <v>504</v>
      </c>
      <c r="I191" s="3">
        <f t="shared" si="477"/>
        <v>21</v>
      </c>
      <c r="J191" s="60" t="str">
        <f t="shared" si="478"/>
        <v>Available</v>
      </c>
      <c r="K191" s="21"/>
      <c r="L191" s="19"/>
      <c r="M191" s="66"/>
    </row>
    <row r="192" spans="1:13" ht="20.25" hidden="1" x14ac:dyDescent="0.25">
      <c r="A192" s="74">
        <v>8</v>
      </c>
      <c r="B192" s="135" t="s">
        <v>299</v>
      </c>
      <c r="C192" s="3">
        <v>0</v>
      </c>
      <c r="D192" s="3">
        <f t="shared" si="474"/>
        <v>0</v>
      </c>
      <c r="E192" s="3"/>
      <c r="F192" s="3">
        <f t="shared" si="475"/>
        <v>0</v>
      </c>
      <c r="G192" s="3"/>
      <c r="H192" s="3">
        <f t="shared" si="476"/>
        <v>0</v>
      </c>
      <c r="I192" s="3">
        <f t="shared" si="477"/>
        <v>0</v>
      </c>
      <c r="J192" s="60" t="str">
        <f t="shared" si="478"/>
        <v>No Stock</v>
      </c>
      <c r="K192" s="21"/>
      <c r="L192" s="19"/>
      <c r="M192" s="66"/>
    </row>
    <row r="193" spans="1:13" ht="20.25" hidden="1" x14ac:dyDescent="0.25">
      <c r="A193" s="74">
        <v>9</v>
      </c>
      <c r="B193" s="135" t="s">
        <v>301</v>
      </c>
      <c r="C193" s="3">
        <v>0</v>
      </c>
      <c r="D193" s="3">
        <f t="shared" si="474"/>
        <v>0</v>
      </c>
      <c r="E193" s="3"/>
      <c r="F193" s="3">
        <f t="shared" si="475"/>
        <v>0</v>
      </c>
      <c r="G193" s="3"/>
      <c r="H193" s="3">
        <f t="shared" si="476"/>
        <v>0</v>
      </c>
      <c r="I193" s="3">
        <f t="shared" si="477"/>
        <v>0</v>
      </c>
      <c r="J193" s="60" t="str">
        <f t="shared" si="478"/>
        <v>No Stock</v>
      </c>
      <c r="K193" s="21"/>
      <c r="L193" s="19"/>
      <c r="M193" s="66"/>
    </row>
    <row r="194" spans="1:13" ht="20.25" hidden="1" x14ac:dyDescent="0.25">
      <c r="A194" s="74">
        <v>10</v>
      </c>
      <c r="B194" s="135" t="s">
        <v>306</v>
      </c>
      <c r="C194" s="3">
        <v>0</v>
      </c>
      <c r="D194" s="3">
        <f t="shared" si="474"/>
        <v>0</v>
      </c>
      <c r="E194" s="3"/>
      <c r="F194" s="3">
        <f t="shared" si="475"/>
        <v>0</v>
      </c>
      <c r="G194" s="3"/>
      <c r="H194" s="3">
        <f t="shared" si="476"/>
        <v>0</v>
      </c>
      <c r="I194" s="3">
        <f t="shared" si="477"/>
        <v>0</v>
      </c>
      <c r="J194" s="60" t="str">
        <f t="shared" si="478"/>
        <v>No Stock</v>
      </c>
      <c r="K194" s="21"/>
      <c r="L194" s="19"/>
      <c r="M194" s="66"/>
    </row>
    <row r="195" spans="1:13" ht="20.25" hidden="1" x14ac:dyDescent="0.25">
      <c r="A195" s="74">
        <v>11</v>
      </c>
      <c r="B195" s="135" t="s">
        <v>305</v>
      </c>
      <c r="C195" s="3">
        <v>0</v>
      </c>
      <c r="D195" s="3">
        <f t="shared" si="474"/>
        <v>0</v>
      </c>
      <c r="E195" s="3"/>
      <c r="F195" s="3">
        <f t="shared" si="475"/>
        <v>0</v>
      </c>
      <c r="G195" s="3"/>
      <c r="H195" s="3">
        <f t="shared" si="476"/>
        <v>0</v>
      </c>
      <c r="I195" s="3">
        <f t="shared" si="477"/>
        <v>0</v>
      </c>
      <c r="J195" s="60" t="str">
        <f t="shared" si="478"/>
        <v>No Stock</v>
      </c>
      <c r="K195" s="21"/>
      <c r="L195" s="19"/>
      <c r="M195" s="66"/>
    </row>
    <row r="196" spans="1:13" ht="20.25" hidden="1" x14ac:dyDescent="0.25">
      <c r="A196" s="74">
        <v>12</v>
      </c>
      <c r="B196" s="135" t="s">
        <v>307</v>
      </c>
      <c r="C196" s="3">
        <v>0</v>
      </c>
      <c r="D196" s="3">
        <f t="shared" si="474"/>
        <v>0</v>
      </c>
      <c r="E196" s="3"/>
      <c r="F196" s="3">
        <f t="shared" si="475"/>
        <v>0</v>
      </c>
      <c r="G196" s="3"/>
      <c r="H196" s="3">
        <f t="shared" si="476"/>
        <v>0</v>
      </c>
      <c r="I196" s="3">
        <f t="shared" si="477"/>
        <v>0</v>
      </c>
      <c r="J196" s="60" t="str">
        <f t="shared" si="478"/>
        <v>No Stock</v>
      </c>
      <c r="K196" s="21"/>
      <c r="L196" s="19"/>
      <c r="M196" s="66"/>
    </row>
    <row r="197" spans="1:13" ht="20.25" hidden="1" x14ac:dyDescent="0.25">
      <c r="A197" s="74">
        <v>13</v>
      </c>
      <c r="B197" s="135" t="s">
        <v>308</v>
      </c>
      <c r="C197" s="3">
        <v>0</v>
      </c>
      <c r="D197" s="3">
        <f t="shared" si="474"/>
        <v>0</v>
      </c>
      <c r="E197" s="3"/>
      <c r="F197" s="3">
        <f t="shared" si="475"/>
        <v>0</v>
      </c>
      <c r="G197" s="3"/>
      <c r="H197" s="3">
        <f t="shared" si="476"/>
        <v>0</v>
      </c>
      <c r="I197" s="3">
        <f t="shared" si="477"/>
        <v>0</v>
      </c>
      <c r="J197" s="60" t="str">
        <f t="shared" si="478"/>
        <v>No Stock</v>
      </c>
      <c r="K197" s="21"/>
      <c r="L197" s="19"/>
      <c r="M197" s="66"/>
    </row>
    <row r="198" spans="1:13" ht="20.25" x14ac:dyDescent="0.25">
      <c r="A198" s="74">
        <v>14</v>
      </c>
      <c r="B198" s="135" t="s">
        <v>169</v>
      </c>
      <c r="C198" s="3">
        <v>72</v>
      </c>
      <c r="D198" s="3">
        <f t="shared" si="474"/>
        <v>3</v>
      </c>
      <c r="E198" s="3"/>
      <c r="F198" s="3">
        <f t="shared" si="475"/>
        <v>72</v>
      </c>
      <c r="G198" s="3"/>
      <c r="H198" s="3">
        <f t="shared" si="476"/>
        <v>72</v>
      </c>
      <c r="I198" s="3">
        <f t="shared" si="477"/>
        <v>3</v>
      </c>
      <c r="J198" s="60" t="str">
        <f t="shared" si="478"/>
        <v>Available</v>
      </c>
      <c r="K198" s="21"/>
      <c r="L198" s="19"/>
      <c r="M198" s="66"/>
    </row>
    <row r="199" spans="1:13" ht="20.25" x14ac:dyDescent="0.25">
      <c r="A199" s="74">
        <v>15</v>
      </c>
      <c r="B199" s="135" t="s">
        <v>161</v>
      </c>
      <c r="C199" s="3">
        <v>192</v>
      </c>
      <c r="D199" s="3">
        <f t="shared" si="474"/>
        <v>8</v>
      </c>
      <c r="E199" s="3"/>
      <c r="F199" s="3">
        <f t="shared" si="475"/>
        <v>192</v>
      </c>
      <c r="G199" s="3"/>
      <c r="H199" s="3">
        <f t="shared" si="476"/>
        <v>192</v>
      </c>
      <c r="I199" s="3">
        <f t="shared" si="477"/>
        <v>8</v>
      </c>
      <c r="J199" s="60" t="str">
        <f t="shared" si="478"/>
        <v>Available</v>
      </c>
      <c r="K199" s="21"/>
      <c r="L199" s="19"/>
      <c r="M199" s="66"/>
    </row>
    <row r="200" spans="1:13" ht="20.25" hidden="1" x14ac:dyDescent="0.25">
      <c r="A200" s="74">
        <v>16</v>
      </c>
      <c r="B200" s="135" t="s">
        <v>102</v>
      </c>
      <c r="C200" s="3">
        <v>0</v>
      </c>
      <c r="D200" s="3">
        <f t="shared" si="474"/>
        <v>0</v>
      </c>
      <c r="E200" s="3"/>
      <c r="F200" s="3">
        <f t="shared" si="475"/>
        <v>0</v>
      </c>
      <c r="G200" s="3"/>
      <c r="H200" s="3">
        <f t="shared" si="476"/>
        <v>0</v>
      </c>
      <c r="I200" s="3">
        <f t="shared" si="477"/>
        <v>0</v>
      </c>
      <c r="J200" s="60" t="str">
        <f t="shared" si="478"/>
        <v>No Stock</v>
      </c>
      <c r="K200" s="21"/>
      <c r="L200" s="19"/>
      <c r="M200" s="66"/>
    </row>
    <row r="201" spans="1:13" ht="20.25" hidden="1" x14ac:dyDescent="0.25">
      <c r="A201" s="74">
        <v>17</v>
      </c>
      <c r="B201" s="135" t="s">
        <v>101</v>
      </c>
      <c r="C201" s="3">
        <v>0</v>
      </c>
      <c r="D201" s="3">
        <f t="shared" si="474"/>
        <v>0</v>
      </c>
      <c r="E201" s="3"/>
      <c r="F201" s="3">
        <f t="shared" si="475"/>
        <v>0</v>
      </c>
      <c r="G201" s="3"/>
      <c r="H201" s="3">
        <f t="shared" si="476"/>
        <v>0</v>
      </c>
      <c r="I201" s="3">
        <f t="shared" si="477"/>
        <v>0</v>
      </c>
      <c r="J201" s="60" t="str">
        <f t="shared" si="478"/>
        <v>No Stock</v>
      </c>
      <c r="K201" s="21"/>
      <c r="L201" s="19"/>
      <c r="M201" s="66"/>
    </row>
    <row r="202" spans="1:13" ht="20.25" hidden="1" x14ac:dyDescent="0.25">
      <c r="A202" s="74">
        <v>18</v>
      </c>
      <c r="B202" s="134" t="s">
        <v>175</v>
      </c>
      <c r="C202" s="3">
        <v>0</v>
      </c>
      <c r="D202" s="3">
        <f t="shared" si="474"/>
        <v>0</v>
      </c>
      <c r="E202" s="3"/>
      <c r="F202" s="3">
        <f t="shared" si="475"/>
        <v>0</v>
      </c>
      <c r="G202" s="3"/>
      <c r="H202" s="3">
        <f t="shared" si="476"/>
        <v>0</v>
      </c>
      <c r="I202" s="3">
        <f t="shared" si="477"/>
        <v>0</v>
      </c>
      <c r="J202" s="60" t="str">
        <f t="shared" si="478"/>
        <v>No Stock</v>
      </c>
      <c r="K202" s="21"/>
      <c r="L202" s="19"/>
      <c r="M202" s="66"/>
    </row>
    <row r="203" spans="1:13" ht="20.25" x14ac:dyDescent="0.25">
      <c r="A203" s="74">
        <v>19</v>
      </c>
      <c r="B203" s="134" t="s">
        <v>170</v>
      </c>
      <c r="C203" s="3">
        <v>120</v>
      </c>
      <c r="D203" s="3">
        <f t="shared" si="474"/>
        <v>5</v>
      </c>
      <c r="E203" s="3"/>
      <c r="F203" s="3">
        <f t="shared" si="475"/>
        <v>120</v>
      </c>
      <c r="G203" s="3"/>
      <c r="H203" s="3">
        <f>F203-G203</f>
        <v>120</v>
      </c>
      <c r="I203" s="3">
        <f t="shared" si="477"/>
        <v>5</v>
      </c>
      <c r="J203" s="60" t="str">
        <f t="shared" si="478"/>
        <v>Available</v>
      </c>
      <c r="K203" s="21"/>
      <c r="L203" s="19"/>
      <c r="M203" s="66"/>
    </row>
    <row r="204" spans="1:13" ht="20.25" hidden="1" x14ac:dyDescent="0.25">
      <c r="A204" s="74">
        <v>20</v>
      </c>
      <c r="B204" s="134" t="s">
        <v>172</v>
      </c>
      <c r="C204" s="3">
        <v>0</v>
      </c>
      <c r="D204" s="3">
        <f t="shared" si="474"/>
        <v>0</v>
      </c>
      <c r="E204" s="3"/>
      <c r="F204" s="3">
        <f t="shared" si="475"/>
        <v>0</v>
      </c>
      <c r="G204" s="3"/>
      <c r="H204" s="3">
        <f t="shared" si="476"/>
        <v>0</v>
      </c>
      <c r="I204" s="3">
        <f t="shared" si="477"/>
        <v>0</v>
      </c>
      <c r="J204" s="60" t="str">
        <f t="shared" si="478"/>
        <v>No Stock</v>
      </c>
      <c r="K204" s="21"/>
      <c r="L204" s="19"/>
      <c r="M204" s="66"/>
    </row>
    <row r="205" spans="1:13" ht="20.25" hidden="1" x14ac:dyDescent="0.25">
      <c r="A205" s="74">
        <v>21</v>
      </c>
      <c r="B205" s="134" t="s">
        <v>100</v>
      </c>
      <c r="C205" s="3">
        <v>0</v>
      </c>
      <c r="D205" s="3">
        <f t="shared" si="474"/>
        <v>0</v>
      </c>
      <c r="E205" s="3"/>
      <c r="F205" s="3">
        <f t="shared" si="475"/>
        <v>0</v>
      </c>
      <c r="G205" s="3"/>
      <c r="H205" s="3">
        <f t="shared" si="476"/>
        <v>0</v>
      </c>
      <c r="I205" s="3">
        <f t="shared" si="477"/>
        <v>0</v>
      </c>
      <c r="J205" s="60" t="str">
        <f t="shared" si="478"/>
        <v>No Stock</v>
      </c>
      <c r="K205" s="21"/>
      <c r="L205" s="19"/>
      <c r="M205" s="66"/>
    </row>
    <row r="206" spans="1:13" ht="20.25" hidden="1" x14ac:dyDescent="0.25">
      <c r="A206" s="74">
        <v>22</v>
      </c>
      <c r="B206" s="68" t="s">
        <v>291</v>
      </c>
      <c r="C206" s="60">
        <v>0</v>
      </c>
      <c r="D206" s="60">
        <f t="shared" si="474"/>
        <v>0</v>
      </c>
      <c r="E206" s="60"/>
      <c r="F206" s="3">
        <f t="shared" si="475"/>
        <v>0</v>
      </c>
      <c r="G206" s="3"/>
      <c r="H206" s="3">
        <f t="shared" si="476"/>
        <v>0</v>
      </c>
      <c r="I206" s="3">
        <f t="shared" si="477"/>
        <v>0</v>
      </c>
      <c r="J206" s="60" t="str">
        <f t="shared" si="478"/>
        <v>No Stock</v>
      </c>
      <c r="K206" s="21"/>
      <c r="L206" s="19"/>
      <c r="M206" s="66"/>
    </row>
    <row r="207" spans="1:13" ht="20.25" hidden="1" x14ac:dyDescent="0.25">
      <c r="A207" s="74">
        <v>23</v>
      </c>
      <c r="B207" s="68" t="s">
        <v>292</v>
      </c>
      <c r="C207" s="60">
        <v>0</v>
      </c>
      <c r="D207" s="60">
        <f t="shared" si="474"/>
        <v>0</v>
      </c>
      <c r="E207" s="60"/>
      <c r="F207" s="3">
        <f t="shared" si="475"/>
        <v>0</v>
      </c>
      <c r="G207" s="3"/>
      <c r="H207" s="3">
        <f t="shared" si="476"/>
        <v>0</v>
      </c>
      <c r="I207" s="3">
        <f t="shared" si="477"/>
        <v>0</v>
      </c>
      <c r="J207" s="60" t="str">
        <f t="shared" si="478"/>
        <v>No Stock</v>
      </c>
      <c r="K207" s="21"/>
      <c r="L207" s="19"/>
      <c r="M207" s="66"/>
    </row>
    <row r="208" spans="1:13" ht="20.25" hidden="1" x14ac:dyDescent="0.25">
      <c r="A208" s="74">
        <v>24</v>
      </c>
      <c r="B208" s="68" t="s">
        <v>109</v>
      </c>
      <c r="C208" s="60">
        <v>0</v>
      </c>
      <c r="D208" s="60">
        <f t="shared" si="474"/>
        <v>0</v>
      </c>
      <c r="E208" s="60"/>
      <c r="F208" s="3">
        <f t="shared" si="475"/>
        <v>0</v>
      </c>
      <c r="G208" s="3"/>
      <c r="H208" s="3">
        <f t="shared" si="476"/>
        <v>0</v>
      </c>
      <c r="I208" s="3">
        <f t="shared" si="477"/>
        <v>0</v>
      </c>
      <c r="J208" s="60" t="str">
        <f t="shared" si="478"/>
        <v>No Stock</v>
      </c>
      <c r="K208" s="21"/>
      <c r="L208" s="19"/>
      <c r="M208" s="66"/>
    </row>
    <row r="209" spans="1:13" ht="20.25" hidden="1" x14ac:dyDescent="0.25">
      <c r="A209" s="74">
        <v>25</v>
      </c>
      <c r="B209" s="68" t="s">
        <v>110</v>
      </c>
      <c r="C209" s="60">
        <v>0</v>
      </c>
      <c r="D209" s="60">
        <f t="shared" si="474"/>
        <v>0</v>
      </c>
      <c r="E209" s="60"/>
      <c r="F209" s="3">
        <f t="shared" si="475"/>
        <v>0</v>
      </c>
      <c r="G209" s="3"/>
      <c r="H209" s="3">
        <f t="shared" si="476"/>
        <v>0</v>
      </c>
      <c r="I209" s="3">
        <f t="shared" si="477"/>
        <v>0</v>
      </c>
      <c r="J209" s="60" t="str">
        <f t="shared" si="478"/>
        <v>No Stock</v>
      </c>
      <c r="K209" s="21"/>
      <c r="L209" s="19"/>
      <c r="M209" s="66"/>
    </row>
    <row r="210" spans="1:13" ht="20.25" x14ac:dyDescent="0.25">
      <c r="A210" s="74">
        <v>26</v>
      </c>
      <c r="B210" s="68" t="s">
        <v>318</v>
      </c>
      <c r="C210" s="60">
        <v>24</v>
      </c>
      <c r="D210" s="60">
        <f t="shared" si="474"/>
        <v>1</v>
      </c>
      <c r="E210" s="60"/>
      <c r="F210" s="3">
        <f t="shared" si="475"/>
        <v>24</v>
      </c>
      <c r="G210" s="3"/>
      <c r="H210" s="3">
        <f t="shared" si="476"/>
        <v>24</v>
      </c>
      <c r="I210" s="3">
        <f t="shared" si="477"/>
        <v>1</v>
      </c>
      <c r="J210" s="60" t="str">
        <f t="shared" si="478"/>
        <v>Available</v>
      </c>
      <c r="K210" s="21"/>
      <c r="L210" s="19"/>
      <c r="M210" s="66"/>
    </row>
    <row r="211" spans="1:13" ht="20.25" x14ac:dyDescent="0.25">
      <c r="A211" s="74">
        <v>27</v>
      </c>
      <c r="B211" s="68" t="s">
        <v>108</v>
      </c>
      <c r="C211" s="60">
        <v>120</v>
      </c>
      <c r="D211" s="60">
        <f t="shared" si="474"/>
        <v>5</v>
      </c>
      <c r="E211" s="60"/>
      <c r="F211" s="3">
        <f t="shared" si="475"/>
        <v>120</v>
      </c>
      <c r="G211" s="3"/>
      <c r="H211" s="3">
        <f t="shared" si="476"/>
        <v>120</v>
      </c>
      <c r="I211" s="3">
        <f t="shared" si="477"/>
        <v>5</v>
      </c>
      <c r="J211" s="60" t="str">
        <f t="shared" si="478"/>
        <v>Available</v>
      </c>
      <c r="K211" s="21"/>
      <c r="L211" s="19"/>
      <c r="M211" s="66"/>
    </row>
    <row r="212" spans="1:13" ht="20.25" hidden="1" x14ac:dyDescent="0.25">
      <c r="A212" s="74">
        <v>28</v>
      </c>
      <c r="B212" s="68" t="s">
        <v>151</v>
      </c>
      <c r="C212" s="60">
        <v>0</v>
      </c>
      <c r="D212" s="60">
        <f t="shared" si="474"/>
        <v>0</v>
      </c>
      <c r="E212" s="60"/>
      <c r="F212" s="3">
        <f t="shared" si="475"/>
        <v>0</v>
      </c>
      <c r="G212" s="3"/>
      <c r="H212" s="3">
        <f t="shared" si="476"/>
        <v>0</v>
      </c>
      <c r="I212" s="3">
        <f t="shared" si="477"/>
        <v>0</v>
      </c>
      <c r="J212" s="60" t="str">
        <f t="shared" si="478"/>
        <v>No Stock</v>
      </c>
      <c r="K212" s="21"/>
      <c r="L212" s="19"/>
      <c r="M212" s="66"/>
    </row>
    <row r="213" spans="1:13" ht="20.25" x14ac:dyDescent="0.25">
      <c r="A213" s="74">
        <v>29</v>
      </c>
      <c r="B213" s="68" t="s">
        <v>114</v>
      </c>
      <c r="C213" s="60">
        <v>24</v>
      </c>
      <c r="D213" s="60">
        <f t="shared" si="474"/>
        <v>1</v>
      </c>
      <c r="E213" s="60"/>
      <c r="F213" s="3">
        <f t="shared" si="475"/>
        <v>24</v>
      </c>
      <c r="G213" s="3"/>
      <c r="H213" s="3">
        <f t="shared" si="476"/>
        <v>24</v>
      </c>
      <c r="I213" s="3">
        <f t="shared" si="477"/>
        <v>1</v>
      </c>
      <c r="J213" s="60" t="str">
        <f t="shared" si="478"/>
        <v>Available</v>
      </c>
      <c r="K213" s="21"/>
      <c r="L213" s="19"/>
      <c r="M213" s="66"/>
    </row>
    <row r="214" spans="1:13" ht="20.25" hidden="1" x14ac:dyDescent="0.25">
      <c r="A214" s="74">
        <v>30</v>
      </c>
      <c r="B214" s="68" t="s">
        <v>113</v>
      </c>
      <c r="C214" s="60">
        <v>0</v>
      </c>
      <c r="D214" s="60">
        <f t="shared" si="474"/>
        <v>0</v>
      </c>
      <c r="E214" s="60"/>
      <c r="F214" s="3">
        <f t="shared" si="475"/>
        <v>0</v>
      </c>
      <c r="G214" s="3"/>
      <c r="H214" s="3">
        <f t="shared" si="476"/>
        <v>0</v>
      </c>
      <c r="I214" s="3">
        <f t="shared" si="477"/>
        <v>0</v>
      </c>
      <c r="J214" s="60" t="str">
        <f t="shared" si="478"/>
        <v>No Stock</v>
      </c>
      <c r="K214" s="21"/>
      <c r="L214" s="19"/>
      <c r="M214" s="66"/>
    </row>
    <row r="215" spans="1:13" ht="20.25" hidden="1" x14ac:dyDescent="0.25">
      <c r="A215" s="74">
        <v>31</v>
      </c>
      <c r="B215" s="68" t="s">
        <v>112</v>
      </c>
      <c r="C215" s="60">
        <v>0</v>
      </c>
      <c r="D215" s="60">
        <f t="shared" si="474"/>
        <v>0</v>
      </c>
      <c r="E215" s="60"/>
      <c r="F215" s="3">
        <f t="shared" si="475"/>
        <v>0</v>
      </c>
      <c r="G215" s="3"/>
      <c r="H215" s="3">
        <f t="shared" si="476"/>
        <v>0</v>
      </c>
      <c r="I215" s="3">
        <f t="shared" si="477"/>
        <v>0</v>
      </c>
      <c r="J215" s="60" t="str">
        <f t="shared" si="478"/>
        <v>No Stock</v>
      </c>
      <c r="K215" s="21"/>
      <c r="L215" s="19"/>
      <c r="M215" s="66"/>
    </row>
    <row r="216" spans="1:13" ht="20.25" hidden="1" x14ac:dyDescent="0.25">
      <c r="A216" s="74">
        <v>32</v>
      </c>
      <c r="B216" s="68" t="s">
        <v>266</v>
      </c>
      <c r="C216" s="60">
        <v>0</v>
      </c>
      <c r="D216" s="60">
        <f t="shared" si="474"/>
        <v>0</v>
      </c>
      <c r="E216" s="60"/>
      <c r="F216" s="3">
        <f t="shared" si="475"/>
        <v>0</v>
      </c>
      <c r="G216" s="3"/>
      <c r="H216" s="3">
        <f t="shared" si="476"/>
        <v>0</v>
      </c>
      <c r="I216" s="3">
        <f t="shared" si="477"/>
        <v>0</v>
      </c>
      <c r="J216" s="60" t="str">
        <f t="shared" si="478"/>
        <v>No Stock</v>
      </c>
      <c r="K216" s="21"/>
      <c r="L216" s="19"/>
      <c r="M216" s="66"/>
    </row>
    <row r="217" spans="1:13" ht="21" thickBot="1" x14ac:dyDescent="0.3">
      <c r="A217" s="74">
        <v>33</v>
      </c>
      <c r="B217" s="68" t="s">
        <v>111</v>
      </c>
      <c r="C217" s="60">
        <v>24</v>
      </c>
      <c r="D217" s="60">
        <f t="shared" si="474"/>
        <v>1</v>
      </c>
      <c r="E217" s="60"/>
      <c r="F217" s="3">
        <f t="shared" si="475"/>
        <v>24</v>
      </c>
      <c r="G217" s="3"/>
      <c r="H217" s="3">
        <f t="shared" si="476"/>
        <v>24</v>
      </c>
      <c r="I217" s="3">
        <f t="shared" si="477"/>
        <v>1</v>
      </c>
      <c r="J217" s="60" t="str">
        <f t="shared" si="478"/>
        <v>Available</v>
      </c>
      <c r="K217" s="21"/>
      <c r="L217" s="19"/>
      <c r="M217" s="66"/>
    </row>
    <row r="218" spans="1:13" ht="21" hidden="1" thickBot="1" x14ac:dyDescent="0.3">
      <c r="A218" s="74">
        <v>34</v>
      </c>
      <c r="B218" s="135" t="s">
        <v>272</v>
      </c>
      <c r="C218" s="3">
        <v>0</v>
      </c>
      <c r="D218" s="3">
        <f t="shared" si="474"/>
        <v>0</v>
      </c>
      <c r="E218" s="3"/>
      <c r="F218" s="3">
        <f t="shared" si="475"/>
        <v>0</v>
      </c>
      <c r="G218" s="3"/>
      <c r="H218" s="3">
        <f t="shared" si="476"/>
        <v>0</v>
      </c>
      <c r="I218" s="3">
        <f t="shared" si="477"/>
        <v>0</v>
      </c>
      <c r="J218" s="60" t="str">
        <f t="shared" si="478"/>
        <v>No Stock</v>
      </c>
      <c r="K218" s="21"/>
      <c r="L218" s="19"/>
      <c r="M218" s="66"/>
    </row>
    <row r="219" spans="1:13" ht="21" hidden="1" thickBot="1" x14ac:dyDescent="0.3">
      <c r="A219" s="74">
        <v>35</v>
      </c>
      <c r="B219" s="135" t="s">
        <v>302</v>
      </c>
      <c r="C219" s="3">
        <v>0</v>
      </c>
      <c r="D219" s="3">
        <f t="shared" si="474"/>
        <v>0</v>
      </c>
      <c r="E219" s="3"/>
      <c r="F219" s="3">
        <f t="shared" si="475"/>
        <v>0</v>
      </c>
      <c r="G219" s="3"/>
      <c r="H219" s="3">
        <f t="shared" si="476"/>
        <v>0</v>
      </c>
      <c r="I219" s="3">
        <f t="shared" si="477"/>
        <v>0</v>
      </c>
      <c r="J219" s="60" t="str">
        <f t="shared" si="478"/>
        <v>No Stock</v>
      </c>
      <c r="K219" s="21"/>
      <c r="L219" s="19"/>
      <c r="M219" s="66"/>
    </row>
    <row r="220" spans="1:13" ht="21" hidden="1" thickBot="1" x14ac:dyDescent="0.3">
      <c r="A220" s="74">
        <v>36</v>
      </c>
      <c r="B220" s="177" t="s">
        <v>244</v>
      </c>
      <c r="C220" s="178">
        <v>0</v>
      </c>
      <c r="D220" s="178">
        <f t="shared" si="474"/>
        <v>0</v>
      </c>
      <c r="E220" s="178"/>
      <c r="F220" s="3">
        <f t="shared" si="475"/>
        <v>0</v>
      </c>
      <c r="G220" s="3"/>
      <c r="H220" s="3">
        <f t="shared" si="476"/>
        <v>0</v>
      </c>
      <c r="I220" s="3">
        <f t="shared" si="477"/>
        <v>0</v>
      </c>
      <c r="J220" s="60" t="str">
        <f t="shared" si="478"/>
        <v>No Stock</v>
      </c>
      <c r="K220" s="21"/>
      <c r="L220" s="19"/>
      <c r="M220" s="66"/>
    </row>
    <row r="221" spans="1:13" ht="21" hidden="1" thickBot="1" x14ac:dyDescent="0.3">
      <c r="A221" s="74">
        <v>37</v>
      </c>
      <c r="B221" s="177" t="s">
        <v>245</v>
      </c>
      <c r="C221" s="178">
        <v>0</v>
      </c>
      <c r="D221" s="178">
        <f t="shared" si="474"/>
        <v>0</v>
      </c>
      <c r="E221" s="178"/>
      <c r="F221" s="3">
        <f t="shared" si="475"/>
        <v>0</v>
      </c>
      <c r="G221" s="3"/>
      <c r="H221" s="3">
        <f t="shared" si="476"/>
        <v>0</v>
      </c>
      <c r="I221" s="3">
        <f t="shared" si="477"/>
        <v>0</v>
      </c>
      <c r="J221" s="60" t="str">
        <f t="shared" si="478"/>
        <v>No Stock</v>
      </c>
      <c r="K221" s="21"/>
      <c r="L221" s="19"/>
      <c r="M221" s="66"/>
    </row>
    <row r="222" spans="1:13" ht="23.25" thickBot="1" x14ac:dyDescent="0.3">
      <c r="A222" s="160" t="s">
        <v>1</v>
      </c>
      <c r="B222" s="161"/>
      <c r="C222" s="82">
        <f t="shared" ref="C222:I222" si="479">SUM(C184:C221)</f>
        <v>5664</v>
      </c>
      <c r="D222" s="82">
        <f t="shared" si="479"/>
        <v>236</v>
      </c>
      <c r="E222" s="82">
        <f t="shared" si="479"/>
        <v>1368</v>
      </c>
      <c r="F222" s="82">
        <f t="shared" si="479"/>
        <v>7032</v>
      </c>
      <c r="G222" s="82">
        <f t="shared" si="479"/>
        <v>0</v>
      </c>
      <c r="H222" s="82">
        <f t="shared" si="479"/>
        <v>7032</v>
      </c>
      <c r="I222" s="82">
        <f t="shared" si="479"/>
        <v>293</v>
      </c>
      <c r="J222" s="83"/>
      <c r="K222" s="49"/>
      <c r="L222" s="22" t="e">
        <f>SUM(#REF!)</f>
        <v>#REF!</v>
      </c>
      <c r="M222" s="85"/>
    </row>
    <row r="223" spans="1:13" ht="20.25" x14ac:dyDescent="0.25">
      <c r="A223" s="126" t="s">
        <v>20</v>
      </c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8"/>
    </row>
    <row r="224" spans="1:13" ht="47.25" x14ac:dyDescent="0.25">
      <c r="A224" s="10" t="s">
        <v>0</v>
      </c>
      <c r="B224" s="11" t="s">
        <v>4</v>
      </c>
      <c r="C224" s="9" t="s">
        <v>9</v>
      </c>
      <c r="D224" s="9" t="s">
        <v>5</v>
      </c>
      <c r="E224" s="9" t="s">
        <v>14</v>
      </c>
      <c r="F224" s="9" t="s">
        <v>6</v>
      </c>
      <c r="G224" s="9" t="s">
        <v>12</v>
      </c>
      <c r="H224" s="9" t="s">
        <v>7</v>
      </c>
      <c r="I224" s="9" t="s">
        <v>8</v>
      </c>
      <c r="J224" s="115" t="s">
        <v>2</v>
      </c>
      <c r="K224" s="116"/>
      <c r="L224" s="116"/>
      <c r="M224" s="117"/>
    </row>
    <row r="225" spans="1:13" ht="20.25" x14ac:dyDescent="0.25">
      <c r="A225" s="162" t="s">
        <v>10</v>
      </c>
      <c r="B225" s="163"/>
      <c r="C225" s="14">
        <f>C222</f>
        <v>5664</v>
      </c>
      <c r="D225" s="14">
        <f t="shared" ref="D225" si="480">C225/24</f>
        <v>236</v>
      </c>
      <c r="E225" s="14">
        <f>E222</f>
        <v>1368</v>
      </c>
      <c r="F225" s="14">
        <f>F222</f>
        <v>7032</v>
      </c>
      <c r="G225" s="14">
        <f>G222</f>
        <v>0</v>
      </c>
      <c r="H225" s="14">
        <f>H222</f>
        <v>7032</v>
      </c>
      <c r="I225" s="14">
        <f>SUM(I222)</f>
        <v>293</v>
      </c>
      <c r="J225" s="14"/>
      <c r="K225" s="48"/>
      <c r="L225" s="12"/>
      <c r="M225" s="84"/>
    </row>
    <row r="226" spans="1:13" ht="20.25" hidden="1" x14ac:dyDescent="0.25">
      <c r="A226" s="86">
        <v>1</v>
      </c>
      <c r="B226" s="64" t="s">
        <v>224</v>
      </c>
      <c r="C226" s="8">
        <v>0</v>
      </c>
      <c r="D226" s="8">
        <f>C226/24</f>
        <v>0</v>
      </c>
      <c r="E226" s="8"/>
      <c r="F226" s="4">
        <f t="shared" ref="F226:F290" si="481">E226+C226</f>
        <v>0</v>
      </c>
      <c r="G226" s="4"/>
      <c r="H226" s="4">
        <f t="shared" ref="H226" si="482">F226-G226</f>
        <v>0</v>
      </c>
      <c r="I226" s="4">
        <f t="shared" ref="I226" si="483">H226/24</f>
        <v>0</v>
      </c>
      <c r="J226" s="4" t="str">
        <f t="shared" ref="J226" si="484">IF(I226=0,"No Stock","Available")</f>
        <v>No Stock</v>
      </c>
      <c r="K226" s="25"/>
      <c r="L226" s="25"/>
      <c r="M226" s="8"/>
    </row>
    <row r="227" spans="1:13" ht="26.25" customHeight="1" x14ac:dyDescent="0.25">
      <c r="A227" s="86">
        <v>2</v>
      </c>
      <c r="B227" s="64" t="s">
        <v>225</v>
      </c>
      <c r="C227" s="8">
        <v>24</v>
      </c>
      <c r="D227" s="8">
        <f t="shared" ref="D227:D290" si="485">C227/24</f>
        <v>1</v>
      </c>
      <c r="E227" s="8"/>
      <c r="F227" s="4">
        <f t="shared" si="481"/>
        <v>24</v>
      </c>
      <c r="G227" s="4"/>
      <c r="H227" s="4">
        <f t="shared" ref="H227:H228" si="486">F227-G227</f>
        <v>24</v>
      </c>
      <c r="I227" s="4">
        <f t="shared" ref="I227:I228" si="487">H227/24</f>
        <v>1</v>
      </c>
      <c r="J227" s="4" t="str">
        <f t="shared" ref="J227:J228" si="488">IF(I227=0,"No Stock","Available")</f>
        <v>Available</v>
      </c>
      <c r="K227" s="25"/>
      <c r="L227" s="25"/>
      <c r="M227" s="8"/>
    </row>
    <row r="228" spans="1:13" ht="20.25" hidden="1" x14ac:dyDescent="0.25">
      <c r="A228" s="86">
        <v>3</v>
      </c>
      <c r="B228" s="64" t="s">
        <v>226</v>
      </c>
      <c r="C228" s="8">
        <v>0</v>
      </c>
      <c r="D228" s="8">
        <f t="shared" si="485"/>
        <v>0</v>
      </c>
      <c r="E228" s="8"/>
      <c r="F228" s="4">
        <f t="shared" si="481"/>
        <v>0</v>
      </c>
      <c r="G228" s="4"/>
      <c r="H228" s="4">
        <f t="shared" si="486"/>
        <v>0</v>
      </c>
      <c r="I228" s="4">
        <f t="shared" si="487"/>
        <v>0</v>
      </c>
      <c r="J228" s="4" t="str">
        <f t="shared" si="488"/>
        <v>No Stock</v>
      </c>
      <c r="K228" s="25"/>
      <c r="L228" s="25"/>
      <c r="M228" s="8"/>
    </row>
    <row r="229" spans="1:13" ht="20.25" hidden="1" x14ac:dyDescent="0.25">
      <c r="A229" s="86">
        <v>4</v>
      </c>
      <c r="B229" s="64" t="s">
        <v>227</v>
      </c>
      <c r="C229" s="8">
        <v>0</v>
      </c>
      <c r="D229" s="8">
        <f t="shared" si="485"/>
        <v>0</v>
      </c>
      <c r="E229" s="8"/>
      <c r="F229" s="4">
        <f t="shared" si="481"/>
        <v>0</v>
      </c>
      <c r="G229" s="4"/>
      <c r="H229" s="4">
        <f t="shared" ref="H229:H290" si="489">F229-G229</f>
        <v>0</v>
      </c>
      <c r="I229" s="4">
        <f t="shared" ref="I229:I290" si="490">H229/24</f>
        <v>0</v>
      </c>
      <c r="J229" s="4" t="str">
        <f t="shared" ref="J229:J290" si="491">IF(I229=0,"No Stock","Available")</f>
        <v>No Stock</v>
      </c>
      <c r="K229" s="25"/>
      <c r="L229" s="25"/>
      <c r="M229" s="8"/>
    </row>
    <row r="230" spans="1:13" ht="20.25" hidden="1" x14ac:dyDescent="0.25">
      <c r="A230" s="86">
        <v>5</v>
      </c>
      <c r="B230" s="68" t="s">
        <v>147</v>
      </c>
      <c r="C230" s="8">
        <v>0</v>
      </c>
      <c r="D230" s="8">
        <f t="shared" si="485"/>
        <v>0</v>
      </c>
      <c r="E230" s="8"/>
      <c r="F230" s="4">
        <f t="shared" si="481"/>
        <v>0</v>
      </c>
      <c r="G230" s="4"/>
      <c r="H230" s="4">
        <f t="shared" si="489"/>
        <v>0</v>
      </c>
      <c r="I230" s="4">
        <f t="shared" si="490"/>
        <v>0</v>
      </c>
      <c r="J230" s="4" t="str">
        <f t="shared" si="491"/>
        <v>No Stock</v>
      </c>
      <c r="K230" s="25"/>
      <c r="L230" s="25"/>
      <c r="M230" s="8"/>
    </row>
    <row r="231" spans="1:13" ht="26.25" customHeight="1" x14ac:dyDescent="0.25">
      <c r="A231" s="86">
        <v>6</v>
      </c>
      <c r="B231" s="68" t="s">
        <v>173</v>
      </c>
      <c r="C231" s="60">
        <v>312</v>
      </c>
      <c r="D231" s="8">
        <f t="shared" si="485"/>
        <v>13</v>
      </c>
      <c r="E231" s="8"/>
      <c r="F231" s="4">
        <f t="shared" si="481"/>
        <v>312</v>
      </c>
      <c r="G231" s="4"/>
      <c r="H231" s="4">
        <f t="shared" si="489"/>
        <v>312</v>
      </c>
      <c r="I231" s="4">
        <f t="shared" si="490"/>
        <v>13</v>
      </c>
      <c r="J231" s="4" t="str">
        <f t="shared" si="491"/>
        <v>Available</v>
      </c>
      <c r="K231" s="25"/>
      <c r="L231" s="25"/>
      <c r="M231" s="8"/>
    </row>
    <row r="232" spans="1:13" ht="26.25" customHeight="1" x14ac:dyDescent="0.25">
      <c r="A232" s="86">
        <v>7</v>
      </c>
      <c r="B232" s="134" t="s">
        <v>215</v>
      </c>
      <c r="C232" s="4">
        <v>264</v>
      </c>
      <c r="D232" s="4">
        <f t="shared" si="485"/>
        <v>11</v>
      </c>
      <c r="E232" s="4"/>
      <c r="F232" s="4">
        <f t="shared" si="481"/>
        <v>264</v>
      </c>
      <c r="G232" s="4"/>
      <c r="H232" s="4">
        <f t="shared" si="489"/>
        <v>264</v>
      </c>
      <c r="I232" s="4">
        <f t="shared" si="490"/>
        <v>11</v>
      </c>
      <c r="J232" s="4" t="str">
        <f t="shared" si="491"/>
        <v>Available</v>
      </c>
      <c r="K232" s="25"/>
      <c r="L232" s="25"/>
      <c r="M232" s="8"/>
    </row>
    <row r="233" spans="1:13" ht="22.5" customHeight="1" x14ac:dyDescent="0.25">
      <c r="A233" s="86">
        <v>8</v>
      </c>
      <c r="B233" s="134" t="s">
        <v>174</v>
      </c>
      <c r="C233" s="4">
        <v>288</v>
      </c>
      <c r="D233" s="4">
        <f t="shared" si="485"/>
        <v>12</v>
      </c>
      <c r="E233" s="4"/>
      <c r="F233" s="4">
        <f t="shared" si="481"/>
        <v>288</v>
      </c>
      <c r="G233" s="4"/>
      <c r="H233" s="4">
        <f t="shared" si="489"/>
        <v>288</v>
      </c>
      <c r="I233" s="4">
        <f t="shared" si="490"/>
        <v>12</v>
      </c>
      <c r="J233" s="4" t="str">
        <f t="shared" si="491"/>
        <v>Available</v>
      </c>
      <c r="K233" s="25"/>
      <c r="L233" s="25"/>
      <c r="M233" s="8"/>
    </row>
    <row r="234" spans="1:13" ht="20.25" hidden="1" x14ac:dyDescent="0.25">
      <c r="A234" s="86">
        <v>9</v>
      </c>
      <c r="B234" s="135" t="s">
        <v>148</v>
      </c>
      <c r="C234" s="3">
        <v>0</v>
      </c>
      <c r="D234" s="4">
        <f t="shared" si="485"/>
        <v>0</v>
      </c>
      <c r="E234" s="4"/>
      <c r="F234" s="4">
        <f t="shared" si="481"/>
        <v>0</v>
      </c>
      <c r="G234" s="4"/>
      <c r="H234" s="4">
        <f t="shared" si="489"/>
        <v>0</v>
      </c>
      <c r="I234" s="4">
        <f t="shared" si="490"/>
        <v>0</v>
      </c>
      <c r="J234" s="4" t="str">
        <f t="shared" si="491"/>
        <v>No Stock</v>
      </c>
      <c r="K234" s="25"/>
      <c r="L234" s="25"/>
      <c r="M234" s="8"/>
    </row>
    <row r="235" spans="1:13" ht="20.25" hidden="1" x14ac:dyDescent="0.25">
      <c r="A235" s="86">
        <v>10</v>
      </c>
      <c r="B235" s="135" t="s">
        <v>155</v>
      </c>
      <c r="C235" s="3">
        <v>0</v>
      </c>
      <c r="D235" s="4">
        <f t="shared" si="485"/>
        <v>0</v>
      </c>
      <c r="E235" s="4"/>
      <c r="F235" s="4">
        <f t="shared" si="481"/>
        <v>0</v>
      </c>
      <c r="G235" s="4"/>
      <c r="H235" s="4">
        <f t="shared" si="489"/>
        <v>0</v>
      </c>
      <c r="I235" s="4">
        <f t="shared" si="490"/>
        <v>0</v>
      </c>
      <c r="J235" s="4" t="str">
        <f t="shared" si="491"/>
        <v>No Stock</v>
      </c>
      <c r="K235" s="25"/>
      <c r="L235" s="25"/>
      <c r="M235" s="8"/>
    </row>
    <row r="236" spans="1:13" ht="25.5" hidden="1" customHeight="1" x14ac:dyDescent="0.25">
      <c r="A236" s="86">
        <v>11</v>
      </c>
      <c r="B236" s="135" t="s">
        <v>150</v>
      </c>
      <c r="C236" s="3">
        <v>0</v>
      </c>
      <c r="D236" s="4">
        <f t="shared" si="485"/>
        <v>0</v>
      </c>
      <c r="E236" s="4"/>
      <c r="F236" s="4">
        <f t="shared" si="481"/>
        <v>0</v>
      </c>
      <c r="G236" s="4"/>
      <c r="H236" s="4">
        <f t="shared" si="489"/>
        <v>0</v>
      </c>
      <c r="I236" s="4">
        <f t="shared" si="490"/>
        <v>0</v>
      </c>
      <c r="J236" s="4" t="str">
        <f t="shared" si="491"/>
        <v>No Stock</v>
      </c>
      <c r="K236" s="25"/>
      <c r="L236" s="25"/>
      <c r="M236" s="8"/>
    </row>
    <row r="237" spans="1:13" ht="25.5" hidden="1" customHeight="1" x14ac:dyDescent="0.25">
      <c r="A237" s="86">
        <v>12</v>
      </c>
      <c r="B237" s="135" t="s">
        <v>163</v>
      </c>
      <c r="C237" s="3">
        <v>0</v>
      </c>
      <c r="D237" s="4">
        <f t="shared" si="485"/>
        <v>0</v>
      </c>
      <c r="E237" s="4"/>
      <c r="F237" s="4">
        <f t="shared" si="481"/>
        <v>0</v>
      </c>
      <c r="G237" s="4"/>
      <c r="H237" s="4">
        <f t="shared" si="489"/>
        <v>0</v>
      </c>
      <c r="I237" s="4">
        <f t="shared" si="490"/>
        <v>0</v>
      </c>
      <c r="J237" s="4" t="str">
        <f t="shared" si="491"/>
        <v>No Stock</v>
      </c>
      <c r="K237" s="25"/>
      <c r="L237" s="25"/>
      <c r="M237" s="8"/>
    </row>
    <row r="238" spans="1:13" ht="25.5" hidden="1" customHeight="1" x14ac:dyDescent="0.25">
      <c r="A238" s="86">
        <v>13</v>
      </c>
      <c r="B238" s="135" t="s">
        <v>156</v>
      </c>
      <c r="C238" s="3">
        <v>0</v>
      </c>
      <c r="D238" s="4">
        <f t="shared" si="485"/>
        <v>0</v>
      </c>
      <c r="E238" s="4"/>
      <c r="F238" s="4">
        <f t="shared" si="481"/>
        <v>0</v>
      </c>
      <c r="G238" s="4"/>
      <c r="H238" s="4">
        <f t="shared" si="489"/>
        <v>0</v>
      </c>
      <c r="I238" s="4">
        <f t="shared" si="490"/>
        <v>0</v>
      </c>
      <c r="J238" s="4" t="str">
        <f t="shared" si="491"/>
        <v>No Stock</v>
      </c>
      <c r="K238" s="25"/>
      <c r="L238" s="25"/>
      <c r="M238" s="8"/>
    </row>
    <row r="239" spans="1:13" ht="25.5" hidden="1" customHeight="1" x14ac:dyDescent="0.25">
      <c r="A239" s="86">
        <v>14</v>
      </c>
      <c r="B239" s="134" t="s">
        <v>146</v>
      </c>
      <c r="C239" s="4">
        <v>0</v>
      </c>
      <c r="D239" s="4">
        <f t="shared" si="485"/>
        <v>0</v>
      </c>
      <c r="E239" s="4"/>
      <c r="F239" s="4">
        <f t="shared" si="481"/>
        <v>0</v>
      </c>
      <c r="G239" s="4"/>
      <c r="H239" s="4">
        <f t="shared" si="489"/>
        <v>0</v>
      </c>
      <c r="I239" s="4">
        <f t="shared" si="490"/>
        <v>0</v>
      </c>
      <c r="J239" s="4" t="str">
        <f t="shared" si="491"/>
        <v>No Stock</v>
      </c>
      <c r="K239" s="25"/>
      <c r="L239" s="25"/>
      <c r="M239" s="8"/>
    </row>
    <row r="240" spans="1:13" ht="25.5" hidden="1" customHeight="1" x14ac:dyDescent="0.25">
      <c r="A240" s="86">
        <v>15</v>
      </c>
      <c r="B240" s="134" t="s">
        <v>153</v>
      </c>
      <c r="C240" s="4">
        <v>0</v>
      </c>
      <c r="D240" s="4">
        <f t="shared" si="485"/>
        <v>0</v>
      </c>
      <c r="E240" s="4"/>
      <c r="F240" s="4">
        <f t="shared" si="481"/>
        <v>0</v>
      </c>
      <c r="G240" s="4"/>
      <c r="H240" s="4">
        <f t="shared" si="489"/>
        <v>0</v>
      </c>
      <c r="I240" s="4">
        <f t="shared" si="490"/>
        <v>0</v>
      </c>
      <c r="J240" s="4" t="str">
        <f t="shared" si="491"/>
        <v>No Stock</v>
      </c>
      <c r="K240" s="25"/>
      <c r="L240" s="25"/>
      <c r="M240" s="8"/>
    </row>
    <row r="241" spans="1:13" ht="25.5" hidden="1" customHeight="1" x14ac:dyDescent="0.25">
      <c r="A241" s="86">
        <v>16</v>
      </c>
      <c r="B241" s="134" t="s">
        <v>149</v>
      </c>
      <c r="C241" s="4">
        <v>0</v>
      </c>
      <c r="D241" s="4">
        <f t="shared" si="485"/>
        <v>0</v>
      </c>
      <c r="E241" s="4"/>
      <c r="F241" s="4">
        <f t="shared" si="481"/>
        <v>0</v>
      </c>
      <c r="G241" s="4"/>
      <c r="H241" s="4">
        <f t="shared" si="489"/>
        <v>0</v>
      </c>
      <c r="I241" s="4">
        <f t="shared" si="490"/>
        <v>0</v>
      </c>
      <c r="J241" s="4" t="str">
        <f t="shared" si="491"/>
        <v>No Stock</v>
      </c>
      <c r="K241" s="25"/>
      <c r="L241" s="25"/>
      <c r="M241" s="8"/>
    </row>
    <row r="242" spans="1:13" ht="25.5" hidden="1" customHeight="1" x14ac:dyDescent="0.25">
      <c r="A242" s="86">
        <v>17</v>
      </c>
      <c r="B242" s="134" t="s">
        <v>162</v>
      </c>
      <c r="C242" s="4">
        <v>0</v>
      </c>
      <c r="D242" s="4">
        <f t="shared" si="485"/>
        <v>0</v>
      </c>
      <c r="E242" s="4"/>
      <c r="F242" s="4">
        <f t="shared" si="481"/>
        <v>0</v>
      </c>
      <c r="G242" s="4"/>
      <c r="H242" s="4">
        <f t="shared" si="489"/>
        <v>0</v>
      </c>
      <c r="I242" s="4">
        <f t="shared" si="490"/>
        <v>0</v>
      </c>
      <c r="J242" s="4" t="str">
        <f t="shared" si="491"/>
        <v>No Stock</v>
      </c>
      <c r="K242" s="25"/>
      <c r="L242" s="25"/>
      <c r="M242" s="8"/>
    </row>
    <row r="243" spans="1:13" ht="25.5" hidden="1" customHeight="1" x14ac:dyDescent="0.25">
      <c r="A243" s="86">
        <v>18</v>
      </c>
      <c r="B243" s="134" t="s">
        <v>154</v>
      </c>
      <c r="C243" s="4">
        <v>0</v>
      </c>
      <c r="D243" s="4">
        <f t="shared" si="485"/>
        <v>0</v>
      </c>
      <c r="E243" s="4"/>
      <c r="F243" s="4">
        <f t="shared" si="481"/>
        <v>0</v>
      </c>
      <c r="G243" s="4"/>
      <c r="H243" s="4">
        <f t="shared" si="489"/>
        <v>0</v>
      </c>
      <c r="I243" s="4">
        <f t="shared" si="490"/>
        <v>0</v>
      </c>
      <c r="J243" s="4" t="str">
        <f t="shared" si="491"/>
        <v>No Stock</v>
      </c>
      <c r="K243" s="25"/>
      <c r="L243" s="25"/>
      <c r="M243" s="8"/>
    </row>
    <row r="244" spans="1:13" ht="25.5" customHeight="1" x14ac:dyDescent="0.25">
      <c r="A244" s="86">
        <v>19</v>
      </c>
      <c r="B244" s="135" t="s">
        <v>164</v>
      </c>
      <c r="C244" s="3">
        <v>96</v>
      </c>
      <c r="D244" s="4">
        <f t="shared" si="485"/>
        <v>4</v>
      </c>
      <c r="E244" s="4"/>
      <c r="F244" s="4">
        <f t="shared" si="481"/>
        <v>96</v>
      </c>
      <c r="G244" s="4"/>
      <c r="H244" s="4">
        <f t="shared" si="489"/>
        <v>96</v>
      </c>
      <c r="I244" s="4">
        <f t="shared" si="490"/>
        <v>4</v>
      </c>
      <c r="J244" s="4" t="str">
        <f t="shared" si="491"/>
        <v>Available</v>
      </c>
      <c r="K244" s="25"/>
      <c r="L244" s="25"/>
      <c r="M244" s="8"/>
    </row>
    <row r="245" spans="1:13" ht="25.5" customHeight="1" x14ac:dyDescent="0.25">
      <c r="A245" s="86">
        <v>20</v>
      </c>
      <c r="B245" s="134" t="s">
        <v>165</v>
      </c>
      <c r="C245" s="4">
        <v>120</v>
      </c>
      <c r="D245" s="4">
        <f t="shared" si="485"/>
        <v>5</v>
      </c>
      <c r="E245" s="4"/>
      <c r="F245" s="4">
        <f t="shared" si="481"/>
        <v>120</v>
      </c>
      <c r="G245" s="4"/>
      <c r="H245" s="4">
        <f t="shared" si="489"/>
        <v>120</v>
      </c>
      <c r="I245" s="4">
        <f t="shared" si="490"/>
        <v>5</v>
      </c>
      <c r="J245" s="4" t="str">
        <f t="shared" si="491"/>
        <v>Available</v>
      </c>
      <c r="K245" s="25"/>
      <c r="L245" s="25"/>
      <c r="M245" s="8"/>
    </row>
    <row r="246" spans="1:13" ht="25.5" hidden="1" customHeight="1" x14ac:dyDescent="0.25">
      <c r="A246" s="86">
        <v>21</v>
      </c>
      <c r="B246" s="135" t="s">
        <v>142</v>
      </c>
      <c r="C246" s="3">
        <v>0</v>
      </c>
      <c r="D246" s="4">
        <f t="shared" si="485"/>
        <v>0</v>
      </c>
      <c r="E246" s="4"/>
      <c r="F246" s="4">
        <f t="shared" si="481"/>
        <v>0</v>
      </c>
      <c r="G246" s="4"/>
      <c r="H246" s="4">
        <f t="shared" si="489"/>
        <v>0</v>
      </c>
      <c r="I246" s="4">
        <f t="shared" si="490"/>
        <v>0</v>
      </c>
      <c r="J246" s="4" t="str">
        <f t="shared" si="491"/>
        <v>No Stock</v>
      </c>
      <c r="K246" s="25"/>
      <c r="L246" s="25"/>
      <c r="M246" s="8"/>
    </row>
    <row r="247" spans="1:13" ht="25.5" customHeight="1" x14ac:dyDescent="0.25">
      <c r="A247" s="86">
        <v>22</v>
      </c>
      <c r="B247" s="68" t="s">
        <v>143</v>
      </c>
      <c r="C247" s="60">
        <v>24</v>
      </c>
      <c r="D247" s="8">
        <f t="shared" si="485"/>
        <v>1</v>
      </c>
      <c r="E247" s="8"/>
      <c r="F247" s="4">
        <f t="shared" si="481"/>
        <v>24</v>
      </c>
      <c r="G247" s="4"/>
      <c r="H247" s="4">
        <f t="shared" si="489"/>
        <v>24</v>
      </c>
      <c r="I247" s="4">
        <f t="shared" si="490"/>
        <v>1</v>
      </c>
      <c r="J247" s="4" t="str">
        <f t="shared" si="491"/>
        <v>Available</v>
      </c>
      <c r="K247" s="25"/>
      <c r="L247" s="25"/>
      <c r="M247" s="8"/>
    </row>
    <row r="248" spans="1:13" ht="25.5" customHeight="1" x14ac:dyDescent="0.25">
      <c r="A248" s="86">
        <v>23</v>
      </c>
      <c r="B248" s="64" t="s">
        <v>144</v>
      </c>
      <c r="C248" s="8">
        <v>264</v>
      </c>
      <c r="D248" s="8">
        <f t="shared" si="485"/>
        <v>11</v>
      </c>
      <c r="E248" s="8"/>
      <c r="F248" s="4">
        <f t="shared" si="481"/>
        <v>264</v>
      </c>
      <c r="G248" s="4"/>
      <c r="H248" s="4">
        <f t="shared" si="489"/>
        <v>264</v>
      </c>
      <c r="I248" s="4">
        <f t="shared" si="490"/>
        <v>11</v>
      </c>
      <c r="J248" s="4" t="str">
        <f t="shared" si="491"/>
        <v>Available</v>
      </c>
      <c r="K248" s="25"/>
      <c r="L248" s="25"/>
      <c r="M248" s="8"/>
    </row>
    <row r="249" spans="1:13" ht="25.5" hidden="1" customHeight="1" x14ac:dyDescent="0.25">
      <c r="A249" s="86">
        <v>24</v>
      </c>
      <c r="B249" s="64" t="s">
        <v>218</v>
      </c>
      <c r="C249" s="8">
        <v>0</v>
      </c>
      <c r="D249" s="8">
        <f t="shared" si="485"/>
        <v>0</v>
      </c>
      <c r="E249" s="8"/>
      <c r="F249" s="4">
        <f t="shared" si="481"/>
        <v>0</v>
      </c>
      <c r="G249" s="4"/>
      <c r="H249" s="4">
        <f t="shared" si="489"/>
        <v>0</v>
      </c>
      <c r="I249" s="4">
        <f t="shared" si="490"/>
        <v>0</v>
      </c>
      <c r="J249" s="4" t="str">
        <f t="shared" si="491"/>
        <v>No Stock</v>
      </c>
      <c r="K249" s="25"/>
      <c r="L249" s="25"/>
      <c r="M249" s="8"/>
    </row>
    <row r="250" spans="1:13" ht="25.5" hidden="1" customHeight="1" x14ac:dyDescent="0.25">
      <c r="A250" s="86">
        <v>25</v>
      </c>
      <c r="B250" s="135" t="s">
        <v>221</v>
      </c>
      <c r="C250" s="3">
        <v>0</v>
      </c>
      <c r="D250" s="4">
        <f t="shared" si="485"/>
        <v>0</v>
      </c>
      <c r="E250" s="4"/>
      <c r="F250" s="4">
        <f t="shared" si="481"/>
        <v>0</v>
      </c>
      <c r="G250" s="4"/>
      <c r="H250" s="4">
        <f t="shared" si="489"/>
        <v>0</v>
      </c>
      <c r="I250" s="4">
        <f t="shared" si="490"/>
        <v>0</v>
      </c>
      <c r="J250" s="4" t="str">
        <f t="shared" si="491"/>
        <v>No Stock</v>
      </c>
      <c r="K250" s="25"/>
      <c r="L250" s="25"/>
      <c r="M250" s="8"/>
    </row>
    <row r="251" spans="1:13" ht="25.5" hidden="1" customHeight="1" x14ac:dyDescent="0.25">
      <c r="A251" s="86">
        <v>26</v>
      </c>
      <c r="B251" s="135" t="s">
        <v>223</v>
      </c>
      <c r="C251" s="3">
        <v>0</v>
      </c>
      <c r="D251" s="4">
        <f t="shared" si="485"/>
        <v>0</v>
      </c>
      <c r="E251" s="4"/>
      <c r="F251" s="4">
        <f t="shared" si="481"/>
        <v>0</v>
      </c>
      <c r="G251" s="4"/>
      <c r="H251" s="4">
        <f t="shared" si="489"/>
        <v>0</v>
      </c>
      <c r="I251" s="4">
        <f t="shared" si="490"/>
        <v>0</v>
      </c>
      <c r="J251" s="4" t="str">
        <f t="shared" si="491"/>
        <v>No Stock</v>
      </c>
      <c r="K251" s="25"/>
      <c r="L251" s="25"/>
      <c r="M251" s="8"/>
    </row>
    <row r="252" spans="1:13" ht="25.5" hidden="1" customHeight="1" x14ac:dyDescent="0.25">
      <c r="A252" s="86">
        <v>27</v>
      </c>
      <c r="B252" s="135" t="s">
        <v>222</v>
      </c>
      <c r="C252" s="3">
        <v>0</v>
      </c>
      <c r="D252" s="4">
        <f t="shared" si="485"/>
        <v>0</v>
      </c>
      <c r="E252" s="4"/>
      <c r="F252" s="4">
        <f t="shared" si="481"/>
        <v>0</v>
      </c>
      <c r="G252" s="4"/>
      <c r="H252" s="4">
        <f t="shared" si="489"/>
        <v>0</v>
      </c>
      <c r="I252" s="4">
        <f t="shared" si="490"/>
        <v>0</v>
      </c>
      <c r="J252" s="4" t="str">
        <f t="shared" si="491"/>
        <v>No Stock</v>
      </c>
      <c r="K252" s="25"/>
      <c r="L252" s="25"/>
      <c r="M252" s="8"/>
    </row>
    <row r="253" spans="1:13" ht="25.5" customHeight="1" x14ac:dyDescent="0.25">
      <c r="A253" s="86">
        <v>28</v>
      </c>
      <c r="B253" s="135" t="s">
        <v>159</v>
      </c>
      <c r="C253" s="3">
        <v>120</v>
      </c>
      <c r="D253" s="4">
        <f t="shared" si="485"/>
        <v>5</v>
      </c>
      <c r="E253" s="4"/>
      <c r="F253" s="4">
        <f t="shared" si="481"/>
        <v>120</v>
      </c>
      <c r="G253" s="4"/>
      <c r="H253" s="4">
        <f t="shared" si="489"/>
        <v>120</v>
      </c>
      <c r="I253" s="4">
        <f t="shared" si="490"/>
        <v>5</v>
      </c>
      <c r="J253" s="4" t="str">
        <f t="shared" si="491"/>
        <v>Available</v>
      </c>
      <c r="K253" s="25"/>
      <c r="L253" s="25"/>
      <c r="M253" s="8"/>
    </row>
    <row r="254" spans="1:13" ht="25.5" customHeight="1" x14ac:dyDescent="0.25">
      <c r="A254" s="86">
        <v>29</v>
      </c>
      <c r="B254" s="135" t="s">
        <v>160</v>
      </c>
      <c r="C254" s="3">
        <v>336</v>
      </c>
      <c r="D254" s="4">
        <f t="shared" si="485"/>
        <v>14</v>
      </c>
      <c r="E254" s="4"/>
      <c r="F254" s="4">
        <f t="shared" si="481"/>
        <v>336</v>
      </c>
      <c r="G254" s="4"/>
      <c r="H254" s="4">
        <f t="shared" si="489"/>
        <v>336</v>
      </c>
      <c r="I254" s="4">
        <f t="shared" si="490"/>
        <v>14</v>
      </c>
      <c r="J254" s="4" t="str">
        <f t="shared" si="491"/>
        <v>Available</v>
      </c>
      <c r="K254" s="25"/>
      <c r="L254" s="25"/>
      <c r="M254" s="8"/>
    </row>
    <row r="255" spans="1:13" ht="25.5" customHeight="1" x14ac:dyDescent="0.25">
      <c r="A255" s="86">
        <v>30</v>
      </c>
      <c r="B255" s="135" t="s">
        <v>158</v>
      </c>
      <c r="C255" s="3">
        <v>240</v>
      </c>
      <c r="D255" s="4">
        <f t="shared" si="485"/>
        <v>10</v>
      </c>
      <c r="E255" s="4"/>
      <c r="F255" s="4">
        <f t="shared" si="481"/>
        <v>240</v>
      </c>
      <c r="G255" s="4"/>
      <c r="H255" s="4">
        <f t="shared" si="489"/>
        <v>240</v>
      </c>
      <c r="I255" s="4">
        <f t="shared" si="490"/>
        <v>10</v>
      </c>
      <c r="J255" s="4" t="str">
        <f t="shared" si="491"/>
        <v>Available</v>
      </c>
      <c r="K255" s="25"/>
      <c r="L255" s="25"/>
      <c r="M255" s="8"/>
    </row>
    <row r="256" spans="1:13" ht="25.5" hidden="1" customHeight="1" x14ac:dyDescent="0.25">
      <c r="A256" s="86">
        <v>31</v>
      </c>
      <c r="B256" s="135" t="s">
        <v>157</v>
      </c>
      <c r="C256" s="3">
        <v>0</v>
      </c>
      <c r="D256" s="4">
        <f t="shared" si="485"/>
        <v>0</v>
      </c>
      <c r="E256" s="4"/>
      <c r="F256" s="4">
        <f t="shared" si="481"/>
        <v>0</v>
      </c>
      <c r="G256" s="4"/>
      <c r="H256" s="4">
        <f t="shared" si="489"/>
        <v>0</v>
      </c>
      <c r="I256" s="4">
        <f t="shared" si="490"/>
        <v>0</v>
      </c>
      <c r="J256" s="4" t="str">
        <f t="shared" si="491"/>
        <v>No Stock</v>
      </c>
      <c r="K256" s="25"/>
      <c r="L256" s="25"/>
      <c r="M256" s="8"/>
    </row>
    <row r="257" spans="1:13" ht="25.5" customHeight="1" x14ac:dyDescent="0.25">
      <c r="A257" s="86">
        <v>32</v>
      </c>
      <c r="B257" s="135" t="s">
        <v>216</v>
      </c>
      <c r="C257" s="3">
        <v>576</v>
      </c>
      <c r="D257" s="4">
        <f t="shared" si="485"/>
        <v>24</v>
      </c>
      <c r="E257" s="4"/>
      <c r="F257" s="4">
        <f t="shared" si="481"/>
        <v>576</v>
      </c>
      <c r="G257" s="4"/>
      <c r="H257" s="4">
        <f t="shared" si="489"/>
        <v>576</v>
      </c>
      <c r="I257" s="4">
        <f t="shared" si="490"/>
        <v>24</v>
      </c>
      <c r="J257" s="4" t="str">
        <f t="shared" si="491"/>
        <v>Available</v>
      </c>
      <c r="K257" s="25"/>
      <c r="L257" s="25"/>
      <c r="M257" s="8"/>
    </row>
    <row r="258" spans="1:13" ht="25.5" hidden="1" customHeight="1" x14ac:dyDescent="0.25">
      <c r="A258" s="86">
        <v>33</v>
      </c>
      <c r="B258" s="135" t="s">
        <v>219</v>
      </c>
      <c r="C258" s="3">
        <v>0</v>
      </c>
      <c r="D258" s="4">
        <f t="shared" si="485"/>
        <v>0</v>
      </c>
      <c r="E258" s="4"/>
      <c r="F258" s="4">
        <f t="shared" si="481"/>
        <v>0</v>
      </c>
      <c r="G258" s="4"/>
      <c r="H258" s="4">
        <f t="shared" si="489"/>
        <v>0</v>
      </c>
      <c r="I258" s="4">
        <f t="shared" si="490"/>
        <v>0</v>
      </c>
      <c r="J258" s="4" t="str">
        <f t="shared" si="491"/>
        <v>No Stock</v>
      </c>
      <c r="K258" s="25"/>
      <c r="L258" s="25"/>
      <c r="M258" s="8"/>
    </row>
    <row r="259" spans="1:13" ht="25.5" hidden="1" customHeight="1" x14ac:dyDescent="0.25">
      <c r="A259" s="86">
        <v>34</v>
      </c>
      <c r="B259" s="135" t="s">
        <v>210</v>
      </c>
      <c r="C259" s="3">
        <v>0</v>
      </c>
      <c r="D259" s="4">
        <f t="shared" si="485"/>
        <v>0</v>
      </c>
      <c r="E259" s="4"/>
      <c r="F259" s="4">
        <f t="shared" si="481"/>
        <v>0</v>
      </c>
      <c r="G259" s="4"/>
      <c r="H259" s="4">
        <f t="shared" si="489"/>
        <v>0</v>
      </c>
      <c r="I259" s="4">
        <f t="shared" si="490"/>
        <v>0</v>
      </c>
      <c r="J259" s="4" t="str">
        <f t="shared" si="491"/>
        <v>No Stock</v>
      </c>
      <c r="K259" s="25"/>
      <c r="L259" s="25"/>
      <c r="M259" s="8"/>
    </row>
    <row r="260" spans="1:13" ht="25.5" customHeight="1" x14ac:dyDescent="0.25">
      <c r="A260" s="86">
        <v>35</v>
      </c>
      <c r="B260" s="134" t="s">
        <v>217</v>
      </c>
      <c r="C260" s="4">
        <v>648</v>
      </c>
      <c r="D260" s="4">
        <f t="shared" si="485"/>
        <v>27</v>
      </c>
      <c r="E260" s="3"/>
      <c r="F260" s="4">
        <f t="shared" si="481"/>
        <v>648</v>
      </c>
      <c r="G260" s="4"/>
      <c r="H260" s="4">
        <f t="shared" si="489"/>
        <v>648</v>
      </c>
      <c r="I260" s="4">
        <f t="shared" si="490"/>
        <v>27</v>
      </c>
      <c r="J260" s="4" t="str">
        <f t="shared" si="491"/>
        <v>Available</v>
      </c>
      <c r="K260" s="18"/>
      <c r="L260" s="25"/>
      <c r="M260" s="93"/>
    </row>
    <row r="261" spans="1:13" ht="25.5" customHeight="1" x14ac:dyDescent="0.25">
      <c r="A261" s="86">
        <v>36</v>
      </c>
      <c r="B261" s="134" t="s">
        <v>220</v>
      </c>
      <c r="C261" s="4">
        <v>504</v>
      </c>
      <c r="D261" s="4">
        <f t="shared" si="485"/>
        <v>21</v>
      </c>
      <c r="E261" s="3"/>
      <c r="F261" s="4">
        <f t="shared" si="481"/>
        <v>504</v>
      </c>
      <c r="G261" s="4"/>
      <c r="H261" s="4">
        <f t="shared" si="489"/>
        <v>504</v>
      </c>
      <c r="I261" s="4">
        <f t="shared" si="490"/>
        <v>21</v>
      </c>
      <c r="J261" s="4" t="str">
        <f t="shared" si="491"/>
        <v>Available</v>
      </c>
      <c r="K261" s="18"/>
      <c r="L261" s="25"/>
      <c r="M261" s="93"/>
    </row>
    <row r="262" spans="1:13" ht="25.5" customHeight="1" x14ac:dyDescent="0.25">
      <c r="A262" s="86">
        <v>37</v>
      </c>
      <c r="B262" s="134" t="s">
        <v>209</v>
      </c>
      <c r="C262" s="4">
        <v>72</v>
      </c>
      <c r="D262" s="4">
        <f t="shared" si="485"/>
        <v>3</v>
      </c>
      <c r="E262" s="3"/>
      <c r="F262" s="4">
        <f t="shared" si="481"/>
        <v>72</v>
      </c>
      <c r="G262" s="4"/>
      <c r="H262" s="4">
        <f t="shared" si="489"/>
        <v>72</v>
      </c>
      <c r="I262" s="4">
        <f t="shared" si="490"/>
        <v>3</v>
      </c>
      <c r="J262" s="4" t="str">
        <f t="shared" si="491"/>
        <v>Available</v>
      </c>
      <c r="K262" s="18"/>
      <c r="L262" s="25"/>
      <c r="M262" s="93"/>
    </row>
    <row r="263" spans="1:13" ht="25.5" customHeight="1" x14ac:dyDescent="0.25">
      <c r="A263" s="86">
        <v>38</v>
      </c>
      <c r="B263" s="135" t="s">
        <v>319</v>
      </c>
      <c r="C263" s="4">
        <v>192</v>
      </c>
      <c r="D263" s="4">
        <f t="shared" si="485"/>
        <v>8</v>
      </c>
      <c r="E263" s="3"/>
      <c r="F263" s="4">
        <f t="shared" si="481"/>
        <v>192</v>
      </c>
      <c r="G263" s="4"/>
      <c r="H263" s="4">
        <f t="shared" si="489"/>
        <v>192</v>
      </c>
      <c r="I263" s="4">
        <f t="shared" si="490"/>
        <v>8</v>
      </c>
      <c r="J263" s="4" t="str">
        <f t="shared" si="491"/>
        <v>Available</v>
      </c>
      <c r="K263" s="18"/>
      <c r="L263" s="25"/>
      <c r="M263" s="145" t="s">
        <v>322</v>
      </c>
    </row>
    <row r="264" spans="1:13" ht="25.5" customHeight="1" x14ac:dyDescent="0.25">
      <c r="A264" s="86">
        <v>38</v>
      </c>
      <c r="B264" s="135" t="s">
        <v>320</v>
      </c>
      <c r="C264" s="4">
        <v>288</v>
      </c>
      <c r="D264" s="4">
        <f t="shared" ref="D264:D270" si="492">C264/24</f>
        <v>12</v>
      </c>
      <c r="E264" s="3"/>
      <c r="F264" s="4">
        <f t="shared" ref="F264:F270" si="493">E264+C264</f>
        <v>288</v>
      </c>
      <c r="G264" s="4"/>
      <c r="H264" s="4">
        <f t="shared" ref="H264:H270" si="494">F264-G264</f>
        <v>288</v>
      </c>
      <c r="I264" s="4">
        <f t="shared" ref="I264:I270" si="495">H264/24</f>
        <v>12</v>
      </c>
      <c r="J264" s="4" t="str">
        <f t="shared" ref="J264:J272" si="496">IF(I264=0,"No Stock","Available")</f>
        <v>Available</v>
      </c>
      <c r="K264" s="18"/>
      <c r="L264" s="25"/>
      <c r="M264" s="145" t="s">
        <v>322</v>
      </c>
    </row>
    <row r="265" spans="1:13" ht="25.5" customHeight="1" x14ac:dyDescent="0.25">
      <c r="A265" s="86">
        <v>38</v>
      </c>
      <c r="B265" s="135" t="s">
        <v>321</v>
      </c>
      <c r="C265" s="4">
        <v>96</v>
      </c>
      <c r="D265" s="4">
        <f t="shared" si="492"/>
        <v>4</v>
      </c>
      <c r="E265" s="3"/>
      <c r="F265" s="4">
        <f t="shared" si="493"/>
        <v>96</v>
      </c>
      <c r="G265" s="4"/>
      <c r="H265" s="4">
        <f t="shared" si="494"/>
        <v>96</v>
      </c>
      <c r="I265" s="4">
        <f t="shared" si="495"/>
        <v>4</v>
      </c>
      <c r="J265" s="4" t="str">
        <f t="shared" si="496"/>
        <v>Available</v>
      </c>
      <c r="K265" s="18"/>
      <c r="L265" s="25"/>
      <c r="M265" s="145" t="s">
        <v>322</v>
      </c>
    </row>
    <row r="266" spans="1:13" ht="25.5" customHeight="1" x14ac:dyDescent="0.25">
      <c r="A266" s="86">
        <v>38</v>
      </c>
      <c r="B266" s="135" t="s">
        <v>323</v>
      </c>
      <c r="C266" s="4">
        <v>168</v>
      </c>
      <c r="D266" s="4">
        <f t="shared" si="492"/>
        <v>7</v>
      </c>
      <c r="E266" s="3"/>
      <c r="F266" s="4">
        <f t="shared" si="493"/>
        <v>168</v>
      </c>
      <c r="G266" s="4"/>
      <c r="H266" s="4">
        <f t="shared" si="494"/>
        <v>168</v>
      </c>
      <c r="I266" s="4">
        <f t="shared" si="495"/>
        <v>7</v>
      </c>
      <c r="J266" s="4" t="str">
        <f t="shared" si="496"/>
        <v>Available</v>
      </c>
      <c r="K266" s="18"/>
      <c r="L266" s="25"/>
      <c r="M266" s="145" t="s">
        <v>322</v>
      </c>
    </row>
    <row r="267" spans="1:13" ht="25.5" customHeight="1" x14ac:dyDescent="0.25">
      <c r="A267" s="86">
        <v>38</v>
      </c>
      <c r="B267" s="135" t="s">
        <v>324</v>
      </c>
      <c r="C267" s="4">
        <v>216</v>
      </c>
      <c r="D267" s="4">
        <f t="shared" si="492"/>
        <v>9</v>
      </c>
      <c r="E267" s="3"/>
      <c r="F267" s="4">
        <f t="shared" si="493"/>
        <v>216</v>
      </c>
      <c r="G267" s="4"/>
      <c r="H267" s="4">
        <f t="shared" si="494"/>
        <v>216</v>
      </c>
      <c r="I267" s="4">
        <f t="shared" si="495"/>
        <v>9</v>
      </c>
      <c r="J267" s="4" t="str">
        <f t="shared" si="496"/>
        <v>Available</v>
      </c>
      <c r="K267" s="18"/>
      <c r="L267" s="25"/>
      <c r="M267" s="145" t="s">
        <v>322</v>
      </c>
    </row>
    <row r="268" spans="1:13" ht="25.5" customHeight="1" x14ac:dyDescent="0.25">
      <c r="A268" s="86">
        <v>38</v>
      </c>
      <c r="B268" s="135" t="s">
        <v>325</v>
      </c>
      <c r="C268" s="4">
        <v>72</v>
      </c>
      <c r="D268" s="4">
        <f t="shared" si="492"/>
        <v>3</v>
      </c>
      <c r="E268" s="3"/>
      <c r="F268" s="4">
        <f t="shared" si="493"/>
        <v>72</v>
      </c>
      <c r="G268" s="4"/>
      <c r="H268" s="4">
        <f t="shared" si="494"/>
        <v>72</v>
      </c>
      <c r="I268" s="4">
        <f t="shared" si="495"/>
        <v>3</v>
      </c>
      <c r="J268" s="4" t="str">
        <f t="shared" si="496"/>
        <v>Available</v>
      </c>
      <c r="K268" s="18"/>
      <c r="L268" s="25"/>
      <c r="M268" s="145" t="s">
        <v>322</v>
      </c>
    </row>
    <row r="269" spans="1:13" ht="25.5" customHeight="1" x14ac:dyDescent="0.25">
      <c r="A269" s="86">
        <v>38</v>
      </c>
      <c r="B269" s="135" t="s">
        <v>326</v>
      </c>
      <c r="C269" s="4">
        <v>288</v>
      </c>
      <c r="D269" s="4">
        <f t="shared" si="492"/>
        <v>12</v>
      </c>
      <c r="E269" s="3"/>
      <c r="F269" s="4">
        <f t="shared" si="493"/>
        <v>288</v>
      </c>
      <c r="G269" s="4"/>
      <c r="H269" s="4">
        <f t="shared" si="494"/>
        <v>288</v>
      </c>
      <c r="I269" s="4">
        <f t="shared" si="495"/>
        <v>12</v>
      </c>
      <c r="J269" s="4" t="str">
        <f t="shared" si="496"/>
        <v>Available</v>
      </c>
      <c r="K269" s="18"/>
      <c r="L269" s="25"/>
      <c r="M269" s="145" t="s">
        <v>322</v>
      </c>
    </row>
    <row r="270" spans="1:13" ht="25.5" customHeight="1" x14ac:dyDescent="0.25">
      <c r="A270" s="86">
        <v>38</v>
      </c>
      <c r="B270" s="135" t="s">
        <v>327</v>
      </c>
      <c r="C270" s="4">
        <v>72</v>
      </c>
      <c r="D270" s="4">
        <f t="shared" si="492"/>
        <v>3</v>
      </c>
      <c r="E270" s="3"/>
      <c r="F270" s="4">
        <f t="shared" si="493"/>
        <v>72</v>
      </c>
      <c r="G270" s="4"/>
      <c r="H270" s="4">
        <f t="shared" si="494"/>
        <v>72</v>
      </c>
      <c r="I270" s="4">
        <f t="shared" si="495"/>
        <v>3</v>
      </c>
      <c r="J270" s="4" t="str">
        <f t="shared" si="496"/>
        <v>Available</v>
      </c>
      <c r="K270" s="18"/>
      <c r="L270" s="25"/>
      <c r="M270" s="145" t="s">
        <v>322</v>
      </c>
    </row>
    <row r="271" spans="1:13" ht="25.5" customHeight="1" x14ac:dyDescent="0.25">
      <c r="A271" s="86">
        <v>38</v>
      </c>
      <c r="B271" s="135" t="s">
        <v>328</v>
      </c>
      <c r="C271" s="4">
        <v>336</v>
      </c>
      <c r="D271" s="4">
        <f t="shared" ref="D271:D272" si="497">C271/24</f>
        <v>14</v>
      </c>
      <c r="E271" s="3"/>
      <c r="F271" s="4">
        <f t="shared" ref="F271:F272" si="498">E271+C271</f>
        <v>336</v>
      </c>
      <c r="G271" s="4"/>
      <c r="H271" s="4">
        <f t="shared" ref="H271:H272" si="499">F271-G271</f>
        <v>336</v>
      </c>
      <c r="I271" s="4">
        <f t="shared" ref="I271:I272" si="500">H271/24</f>
        <v>14</v>
      </c>
      <c r="J271" s="4" t="str">
        <f t="shared" si="496"/>
        <v>Available</v>
      </c>
      <c r="K271" s="18"/>
      <c r="L271" s="25"/>
      <c r="M271" s="145" t="s">
        <v>322</v>
      </c>
    </row>
    <row r="272" spans="1:13" ht="25.5" customHeight="1" x14ac:dyDescent="0.25">
      <c r="A272" s="86">
        <v>38</v>
      </c>
      <c r="B272" s="135" t="s">
        <v>329</v>
      </c>
      <c r="C272" s="4">
        <v>72</v>
      </c>
      <c r="D272" s="4">
        <f t="shared" si="497"/>
        <v>3</v>
      </c>
      <c r="E272" s="3"/>
      <c r="F272" s="4">
        <f t="shared" si="498"/>
        <v>72</v>
      </c>
      <c r="G272" s="4"/>
      <c r="H272" s="4">
        <f t="shared" si="499"/>
        <v>72</v>
      </c>
      <c r="I272" s="4">
        <f t="shared" si="500"/>
        <v>3</v>
      </c>
      <c r="J272" s="4" t="str">
        <f t="shared" si="496"/>
        <v>Available</v>
      </c>
      <c r="K272" s="18"/>
      <c r="L272" s="25"/>
      <c r="M272" s="145" t="s">
        <v>322</v>
      </c>
    </row>
    <row r="273" spans="1:13" ht="25.5" customHeight="1" x14ac:dyDescent="0.25">
      <c r="A273" s="86">
        <v>41</v>
      </c>
      <c r="B273" s="135" t="s">
        <v>107</v>
      </c>
      <c r="C273" s="3">
        <v>168</v>
      </c>
      <c r="D273" s="4">
        <f t="shared" si="485"/>
        <v>7</v>
      </c>
      <c r="E273" s="3"/>
      <c r="F273" s="4">
        <f t="shared" si="481"/>
        <v>168</v>
      </c>
      <c r="G273" s="4"/>
      <c r="H273" s="4">
        <f t="shared" si="489"/>
        <v>168</v>
      </c>
      <c r="I273" s="4">
        <f t="shared" si="490"/>
        <v>7</v>
      </c>
      <c r="J273" s="4" t="str">
        <f t="shared" si="491"/>
        <v>Available</v>
      </c>
      <c r="K273" s="18"/>
      <c r="L273" s="25"/>
      <c r="M273" s="93"/>
    </row>
    <row r="274" spans="1:13" ht="25.5" hidden="1" customHeight="1" x14ac:dyDescent="0.25">
      <c r="A274" s="86">
        <v>42</v>
      </c>
      <c r="B274" s="135" t="s">
        <v>106</v>
      </c>
      <c r="C274" s="3">
        <v>0</v>
      </c>
      <c r="D274" s="4">
        <f t="shared" si="485"/>
        <v>0</v>
      </c>
      <c r="E274" s="3"/>
      <c r="F274" s="4">
        <f t="shared" si="481"/>
        <v>0</v>
      </c>
      <c r="G274" s="4"/>
      <c r="H274" s="4">
        <f t="shared" si="489"/>
        <v>0</v>
      </c>
      <c r="I274" s="4">
        <f t="shared" si="490"/>
        <v>0</v>
      </c>
      <c r="J274" s="4" t="str">
        <f t="shared" si="491"/>
        <v>No Stock</v>
      </c>
      <c r="K274" s="18"/>
      <c r="L274" s="25"/>
      <c r="M274" s="93"/>
    </row>
    <row r="275" spans="1:13" ht="25.5" customHeight="1" x14ac:dyDescent="0.25">
      <c r="A275" s="86">
        <v>43</v>
      </c>
      <c r="B275" s="135" t="s">
        <v>105</v>
      </c>
      <c r="C275" s="3">
        <v>24</v>
      </c>
      <c r="D275" s="4">
        <f t="shared" si="485"/>
        <v>1</v>
      </c>
      <c r="E275" s="3"/>
      <c r="F275" s="4">
        <f t="shared" si="481"/>
        <v>24</v>
      </c>
      <c r="G275" s="4"/>
      <c r="H275" s="4">
        <f t="shared" si="489"/>
        <v>24</v>
      </c>
      <c r="I275" s="4">
        <f t="shared" si="490"/>
        <v>1</v>
      </c>
      <c r="J275" s="4" t="str">
        <f t="shared" si="491"/>
        <v>Available</v>
      </c>
      <c r="K275" s="18"/>
      <c r="L275" s="25"/>
      <c r="M275" s="93"/>
    </row>
    <row r="276" spans="1:13" ht="25.5" customHeight="1" x14ac:dyDescent="0.25">
      <c r="A276" s="86">
        <v>44</v>
      </c>
      <c r="B276" s="135" t="s">
        <v>118</v>
      </c>
      <c r="C276" s="3">
        <v>24</v>
      </c>
      <c r="D276" s="4">
        <f t="shared" si="485"/>
        <v>1</v>
      </c>
      <c r="E276" s="3"/>
      <c r="F276" s="4">
        <f t="shared" si="481"/>
        <v>24</v>
      </c>
      <c r="G276" s="4"/>
      <c r="H276" s="4">
        <f t="shared" si="489"/>
        <v>24</v>
      </c>
      <c r="I276" s="4">
        <f t="shared" si="490"/>
        <v>1</v>
      </c>
      <c r="J276" s="4" t="str">
        <f t="shared" si="491"/>
        <v>Available</v>
      </c>
      <c r="K276" s="18"/>
      <c r="L276" s="25"/>
      <c r="M276" s="93"/>
    </row>
    <row r="277" spans="1:13" ht="25.5" hidden="1" customHeight="1" x14ac:dyDescent="0.25">
      <c r="A277" s="86">
        <v>45</v>
      </c>
      <c r="B277" s="135" t="s">
        <v>119</v>
      </c>
      <c r="C277" s="3">
        <v>0</v>
      </c>
      <c r="D277" s="4">
        <f t="shared" si="485"/>
        <v>0</v>
      </c>
      <c r="E277" s="3"/>
      <c r="F277" s="4">
        <f t="shared" si="481"/>
        <v>0</v>
      </c>
      <c r="G277" s="4"/>
      <c r="H277" s="4">
        <f t="shared" si="489"/>
        <v>0</v>
      </c>
      <c r="I277" s="4">
        <f t="shared" si="490"/>
        <v>0</v>
      </c>
      <c r="J277" s="4" t="str">
        <f t="shared" si="491"/>
        <v>No Stock</v>
      </c>
      <c r="K277" s="18"/>
      <c r="L277" s="25"/>
      <c r="M277" s="93"/>
    </row>
    <row r="278" spans="1:13" ht="25.5" hidden="1" customHeight="1" x14ac:dyDescent="0.25">
      <c r="A278" s="86">
        <v>46</v>
      </c>
      <c r="B278" s="135" t="s">
        <v>120</v>
      </c>
      <c r="C278" s="3">
        <v>0</v>
      </c>
      <c r="D278" s="4">
        <f t="shared" si="485"/>
        <v>0</v>
      </c>
      <c r="E278" s="3"/>
      <c r="F278" s="4">
        <f t="shared" si="481"/>
        <v>0</v>
      </c>
      <c r="G278" s="4"/>
      <c r="H278" s="4">
        <f t="shared" si="489"/>
        <v>0</v>
      </c>
      <c r="I278" s="4">
        <f t="shared" si="490"/>
        <v>0</v>
      </c>
      <c r="J278" s="4" t="str">
        <f t="shared" si="491"/>
        <v>No Stock</v>
      </c>
      <c r="K278" s="18"/>
      <c r="L278" s="25"/>
      <c r="M278" s="93"/>
    </row>
    <row r="279" spans="1:13" ht="25.5" customHeight="1" x14ac:dyDescent="0.25">
      <c r="A279" s="86">
        <v>47</v>
      </c>
      <c r="B279" s="135" t="s">
        <v>116</v>
      </c>
      <c r="C279" s="3">
        <v>72</v>
      </c>
      <c r="D279" s="4">
        <f t="shared" si="485"/>
        <v>3</v>
      </c>
      <c r="E279" s="3"/>
      <c r="F279" s="4">
        <f t="shared" si="481"/>
        <v>72</v>
      </c>
      <c r="G279" s="4"/>
      <c r="H279" s="4">
        <f t="shared" si="489"/>
        <v>72</v>
      </c>
      <c r="I279" s="4">
        <f t="shared" si="490"/>
        <v>3</v>
      </c>
      <c r="J279" s="4" t="str">
        <f t="shared" si="491"/>
        <v>Available</v>
      </c>
      <c r="K279" s="18"/>
      <c r="L279" s="25"/>
      <c r="M279" s="93"/>
    </row>
    <row r="280" spans="1:13" ht="25.5" customHeight="1" x14ac:dyDescent="0.25">
      <c r="A280" s="86">
        <v>48</v>
      </c>
      <c r="B280" s="135" t="s">
        <v>117</v>
      </c>
      <c r="C280" s="3">
        <v>24</v>
      </c>
      <c r="D280" s="4">
        <f t="shared" si="485"/>
        <v>1</v>
      </c>
      <c r="E280" s="3"/>
      <c r="F280" s="4">
        <f t="shared" si="481"/>
        <v>24</v>
      </c>
      <c r="G280" s="4"/>
      <c r="H280" s="4">
        <f t="shared" si="489"/>
        <v>24</v>
      </c>
      <c r="I280" s="4">
        <f t="shared" si="490"/>
        <v>1</v>
      </c>
      <c r="J280" s="4" t="str">
        <f t="shared" si="491"/>
        <v>Available</v>
      </c>
      <c r="K280" s="18"/>
      <c r="L280" s="25"/>
      <c r="M280" s="93"/>
    </row>
    <row r="281" spans="1:13" ht="25.5" customHeight="1" x14ac:dyDescent="0.25">
      <c r="A281" s="86">
        <v>49</v>
      </c>
      <c r="B281" s="135" t="s">
        <v>115</v>
      </c>
      <c r="C281" s="3">
        <v>24</v>
      </c>
      <c r="D281" s="4">
        <f t="shared" si="485"/>
        <v>1</v>
      </c>
      <c r="E281" s="3"/>
      <c r="F281" s="4">
        <f t="shared" si="481"/>
        <v>24</v>
      </c>
      <c r="G281" s="4"/>
      <c r="H281" s="4">
        <f t="shared" si="489"/>
        <v>24</v>
      </c>
      <c r="I281" s="4">
        <f t="shared" si="490"/>
        <v>1</v>
      </c>
      <c r="J281" s="4" t="str">
        <f t="shared" si="491"/>
        <v>Available</v>
      </c>
      <c r="K281" s="18"/>
      <c r="L281" s="25"/>
      <c r="M281" s="93"/>
    </row>
    <row r="282" spans="1:13" ht="25.5" hidden="1" customHeight="1" x14ac:dyDescent="0.25">
      <c r="A282" s="86">
        <v>50</v>
      </c>
      <c r="B282" s="134" t="s">
        <v>103</v>
      </c>
      <c r="C282" s="4">
        <v>0</v>
      </c>
      <c r="D282" s="4">
        <f t="shared" si="485"/>
        <v>0</v>
      </c>
      <c r="E282" s="3"/>
      <c r="F282" s="4">
        <f t="shared" si="481"/>
        <v>0</v>
      </c>
      <c r="G282" s="3"/>
      <c r="H282" s="4">
        <f t="shared" si="489"/>
        <v>0</v>
      </c>
      <c r="I282" s="4">
        <f t="shared" si="490"/>
        <v>0</v>
      </c>
      <c r="J282" s="4" t="str">
        <f t="shared" si="491"/>
        <v>No Stock</v>
      </c>
      <c r="K282" s="18"/>
      <c r="L282" s="25">
        <f t="shared" ref="L282" si="501">H282*K282</f>
        <v>0</v>
      </c>
      <c r="M282" s="93"/>
    </row>
    <row r="283" spans="1:13" ht="25.5" customHeight="1" x14ac:dyDescent="0.25">
      <c r="A283" s="86">
        <v>51</v>
      </c>
      <c r="B283" s="64" t="s">
        <v>104</v>
      </c>
      <c r="C283" s="8">
        <v>24</v>
      </c>
      <c r="D283" s="8">
        <f t="shared" si="485"/>
        <v>1</v>
      </c>
      <c r="E283" s="60"/>
      <c r="F283" s="4">
        <f t="shared" si="481"/>
        <v>24</v>
      </c>
      <c r="G283" s="3"/>
      <c r="H283" s="4">
        <f t="shared" si="489"/>
        <v>24</v>
      </c>
      <c r="I283" s="4">
        <f t="shared" si="490"/>
        <v>1</v>
      </c>
      <c r="J283" s="4" t="str">
        <f t="shared" si="491"/>
        <v>Available</v>
      </c>
      <c r="K283" s="45"/>
      <c r="L283" s="25"/>
      <c r="M283" s="93"/>
    </row>
    <row r="284" spans="1:13" ht="25.5" hidden="1" customHeight="1" x14ac:dyDescent="0.25">
      <c r="A284" s="86">
        <v>52</v>
      </c>
      <c r="B284" s="64" t="s">
        <v>265</v>
      </c>
      <c r="C284" s="8">
        <v>0</v>
      </c>
      <c r="D284" s="8">
        <f t="shared" si="485"/>
        <v>0</v>
      </c>
      <c r="E284" s="60"/>
      <c r="F284" s="4">
        <f t="shared" si="481"/>
        <v>0</v>
      </c>
      <c r="G284" s="3"/>
      <c r="H284" s="4">
        <f t="shared" si="489"/>
        <v>0</v>
      </c>
      <c r="I284" s="4">
        <f t="shared" si="490"/>
        <v>0</v>
      </c>
      <c r="J284" s="4" t="str">
        <f t="shared" si="491"/>
        <v>No Stock</v>
      </c>
      <c r="K284" s="50"/>
      <c r="L284" s="25"/>
      <c r="M284" s="133"/>
    </row>
    <row r="285" spans="1:13" ht="25.5" customHeight="1" x14ac:dyDescent="0.25">
      <c r="A285" s="86">
        <v>53</v>
      </c>
      <c r="B285" s="64" t="s">
        <v>317</v>
      </c>
      <c r="C285" s="8">
        <v>24</v>
      </c>
      <c r="D285" s="8">
        <f t="shared" si="485"/>
        <v>1</v>
      </c>
      <c r="E285" s="66"/>
      <c r="F285" s="4">
        <f t="shared" si="481"/>
        <v>24</v>
      </c>
      <c r="G285" s="26"/>
      <c r="H285" s="4">
        <f t="shared" si="489"/>
        <v>24</v>
      </c>
      <c r="I285" s="4">
        <f t="shared" si="490"/>
        <v>1</v>
      </c>
      <c r="J285" s="4" t="str">
        <f t="shared" si="491"/>
        <v>Available</v>
      </c>
      <c r="K285" s="52"/>
      <c r="L285" s="24"/>
      <c r="M285" s="3" t="s">
        <v>49</v>
      </c>
    </row>
    <row r="286" spans="1:13" ht="25.5" customHeight="1" x14ac:dyDescent="0.25">
      <c r="A286" s="86">
        <v>54</v>
      </c>
      <c r="B286" s="64" t="s">
        <v>131</v>
      </c>
      <c r="C286" s="8">
        <v>72</v>
      </c>
      <c r="D286" s="8">
        <f t="shared" si="485"/>
        <v>3</v>
      </c>
      <c r="E286" s="66"/>
      <c r="F286" s="4">
        <f t="shared" si="481"/>
        <v>72</v>
      </c>
      <c r="G286" s="26"/>
      <c r="H286" s="4">
        <f t="shared" si="489"/>
        <v>72</v>
      </c>
      <c r="I286" s="4">
        <f t="shared" si="490"/>
        <v>3</v>
      </c>
      <c r="J286" s="4" t="str">
        <f t="shared" si="491"/>
        <v>Available</v>
      </c>
      <c r="K286" s="45"/>
      <c r="L286" s="18"/>
      <c r="M286" s="3" t="s">
        <v>49</v>
      </c>
    </row>
    <row r="287" spans="1:13" ht="25.5" hidden="1" customHeight="1" x14ac:dyDescent="0.25">
      <c r="A287" s="86">
        <v>55</v>
      </c>
      <c r="B287" s="64" t="s">
        <v>203</v>
      </c>
      <c r="C287" s="8">
        <v>0</v>
      </c>
      <c r="D287" s="8">
        <f t="shared" si="485"/>
        <v>0</v>
      </c>
      <c r="E287" s="66"/>
      <c r="F287" s="4">
        <f t="shared" si="481"/>
        <v>0</v>
      </c>
      <c r="G287" s="26"/>
      <c r="H287" s="4">
        <f t="shared" si="489"/>
        <v>0</v>
      </c>
      <c r="I287" s="4">
        <f t="shared" si="490"/>
        <v>0</v>
      </c>
      <c r="J287" s="4" t="str">
        <f t="shared" si="491"/>
        <v>No Stock</v>
      </c>
      <c r="K287" s="45"/>
      <c r="L287" s="18"/>
      <c r="M287" s="3"/>
    </row>
    <row r="288" spans="1:13" ht="20.25" hidden="1" x14ac:dyDescent="0.25">
      <c r="A288" s="86">
        <v>56</v>
      </c>
      <c r="B288" s="64" t="s">
        <v>125</v>
      </c>
      <c r="C288" s="8">
        <v>0</v>
      </c>
      <c r="D288" s="8">
        <f t="shared" si="485"/>
        <v>0</v>
      </c>
      <c r="E288" s="66"/>
      <c r="F288" s="4">
        <f t="shared" si="481"/>
        <v>0</v>
      </c>
      <c r="G288" s="26"/>
      <c r="H288" s="4">
        <f t="shared" si="489"/>
        <v>0</v>
      </c>
      <c r="I288" s="4">
        <f t="shared" si="490"/>
        <v>0</v>
      </c>
      <c r="J288" s="4" t="str">
        <f t="shared" si="491"/>
        <v>No Stock</v>
      </c>
      <c r="K288" s="45"/>
      <c r="L288" s="18"/>
      <c r="M288" s="3"/>
    </row>
    <row r="289" spans="1:13" ht="20.25" hidden="1" x14ac:dyDescent="0.25">
      <c r="A289" s="86">
        <v>57</v>
      </c>
      <c r="B289" s="64" t="s">
        <v>130</v>
      </c>
      <c r="C289" s="8">
        <v>0</v>
      </c>
      <c r="D289" s="8">
        <f t="shared" si="485"/>
        <v>0</v>
      </c>
      <c r="E289" s="66"/>
      <c r="F289" s="4">
        <f t="shared" si="481"/>
        <v>0</v>
      </c>
      <c r="G289" s="26"/>
      <c r="H289" s="4">
        <f t="shared" si="489"/>
        <v>0</v>
      </c>
      <c r="I289" s="4">
        <f t="shared" si="490"/>
        <v>0</v>
      </c>
      <c r="J289" s="4" t="str">
        <f t="shared" si="491"/>
        <v>No Stock</v>
      </c>
      <c r="K289" s="45"/>
      <c r="L289" s="18"/>
      <c r="M289" s="3"/>
    </row>
    <row r="290" spans="1:13" ht="20.25" hidden="1" x14ac:dyDescent="0.25">
      <c r="A290" s="86">
        <v>58</v>
      </c>
      <c r="B290" s="64" t="s">
        <v>126</v>
      </c>
      <c r="C290" s="8">
        <v>0</v>
      </c>
      <c r="D290" s="8">
        <f t="shared" si="485"/>
        <v>0</v>
      </c>
      <c r="E290" s="66"/>
      <c r="F290" s="4">
        <f t="shared" si="481"/>
        <v>0</v>
      </c>
      <c r="G290" s="26"/>
      <c r="H290" s="4">
        <f t="shared" si="489"/>
        <v>0</v>
      </c>
      <c r="I290" s="4">
        <f t="shared" si="490"/>
        <v>0</v>
      </c>
      <c r="J290" s="4" t="str">
        <f t="shared" si="491"/>
        <v>No Stock</v>
      </c>
      <c r="K290" s="45"/>
      <c r="L290" s="18"/>
      <c r="M290" s="3"/>
    </row>
    <row r="291" spans="1:13" ht="21" thickBot="1" x14ac:dyDescent="0.3">
      <c r="A291" s="158" t="s">
        <v>1</v>
      </c>
      <c r="B291" s="159"/>
      <c r="C291" s="75">
        <f t="shared" ref="C291:I291" si="502">SUM(C225:C290)</f>
        <v>11808</v>
      </c>
      <c r="D291" s="75">
        <f t="shared" si="502"/>
        <v>492</v>
      </c>
      <c r="E291" s="75">
        <f t="shared" si="502"/>
        <v>1368</v>
      </c>
      <c r="F291" s="75">
        <f t="shared" si="502"/>
        <v>13176</v>
      </c>
      <c r="G291" s="75">
        <f t="shared" si="502"/>
        <v>0</v>
      </c>
      <c r="H291" s="75">
        <f t="shared" si="502"/>
        <v>13176</v>
      </c>
      <c r="I291" s="69">
        <f t="shared" si="502"/>
        <v>549</v>
      </c>
      <c r="J291" s="69"/>
      <c r="K291" s="43"/>
      <c r="L291" s="142">
        <f>SUM(L226:L290)</f>
        <v>0</v>
      </c>
      <c r="M291" s="143"/>
    </row>
    <row r="292" spans="1:13" ht="27" thickBot="1" x14ac:dyDescent="0.3">
      <c r="A292" s="87"/>
      <c r="B292" s="105"/>
      <c r="C292" s="106"/>
      <c r="D292" s="106"/>
      <c r="E292" s="106"/>
      <c r="F292" s="106"/>
      <c r="G292" s="106"/>
      <c r="H292" s="106"/>
      <c r="I292" s="106"/>
      <c r="J292" s="106"/>
      <c r="K292" s="27"/>
      <c r="L292" s="28"/>
      <c r="M292" s="114" t="s">
        <v>3</v>
      </c>
    </row>
    <row r="293" spans="1:13" ht="28.5" thickBot="1" x14ac:dyDescent="0.3">
      <c r="A293" s="90"/>
      <c r="B293" s="107"/>
      <c r="C293" s="108"/>
      <c r="D293" s="106"/>
      <c r="E293" s="109">
        <f>E291/24</f>
        <v>57</v>
      </c>
      <c r="F293" s="106"/>
      <c r="G293" s="110">
        <f>G291/24</f>
        <v>0</v>
      </c>
      <c r="H293" s="120"/>
      <c r="I293" s="136"/>
      <c r="J293" s="136"/>
      <c r="K293" s="137"/>
      <c r="L293" s="137"/>
      <c r="M293" s="136"/>
    </row>
    <row r="294" spans="1:13" ht="28.5" thickBot="1" x14ac:dyDescent="0.3">
      <c r="A294" s="87"/>
      <c r="B294" s="105"/>
      <c r="C294" s="106"/>
      <c r="D294" s="106"/>
      <c r="E294" s="106"/>
      <c r="F294" s="106"/>
      <c r="G294" s="106"/>
      <c r="H294" s="120"/>
      <c r="I294" s="136"/>
      <c r="J294" s="136"/>
      <c r="K294" s="137"/>
      <c r="L294" s="137"/>
      <c r="M294" s="136"/>
    </row>
    <row r="295" spans="1:13" ht="33.75" thickBot="1" x14ac:dyDescent="0.3">
      <c r="A295" s="87"/>
      <c r="B295" s="105"/>
      <c r="C295" s="111">
        <f>C291/24</f>
        <v>492</v>
      </c>
      <c r="D295" s="108"/>
      <c r="E295" s="106"/>
      <c r="F295" s="111">
        <f>F291/24</f>
        <v>549</v>
      </c>
      <c r="G295" s="106"/>
      <c r="H295" s="112">
        <f>H291/24</f>
        <v>549</v>
      </c>
      <c r="I295" s="113"/>
      <c r="J295" s="113"/>
      <c r="K295" s="51"/>
      <c r="L295" s="6"/>
      <c r="M295" s="113"/>
    </row>
    <row r="296" spans="1:13" ht="20.25" x14ac:dyDescent="0.25">
      <c r="A296" s="87"/>
      <c r="B296" s="88"/>
      <c r="C296" s="91"/>
      <c r="D296" s="91"/>
      <c r="E296" s="89"/>
      <c r="F296" s="91"/>
      <c r="G296" s="89"/>
      <c r="H296" s="91"/>
      <c r="I296" s="91"/>
      <c r="J296" s="91"/>
      <c r="K296" s="29"/>
      <c r="L296" s="30"/>
      <c r="M296" s="94"/>
    </row>
    <row r="297" spans="1:13" ht="20.25" x14ac:dyDescent="0.3">
      <c r="A297" s="95"/>
      <c r="B297" s="96"/>
      <c r="C297" s="91"/>
      <c r="D297" s="97"/>
      <c r="E297" s="98"/>
      <c r="F297" s="92"/>
      <c r="G297" s="92"/>
      <c r="H297" s="92"/>
      <c r="I297" s="92"/>
      <c r="J297" s="92"/>
      <c r="K297" s="32"/>
      <c r="L297" s="31"/>
      <c r="M297" s="103" t="s">
        <v>268</v>
      </c>
    </row>
    <row r="298" spans="1:13" ht="20.25" x14ac:dyDescent="0.3">
      <c r="A298" s="95"/>
      <c r="B298" s="96"/>
      <c r="C298" s="91"/>
      <c r="D298" s="97"/>
      <c r="E298" s="98"/>
      <c r="F298" s="91"/>
      <c r="G298" s="98"/>
      <c r="H298" s="91"/>
      <c r="I298" s="97"/>
      <c r="J298" s="97"/>
      <c r="K298" s="32"/>
      <c r="L298" s="31"/>
      <c r="M298" s="103"/>
    </row>
    <row r="299" spans="1:13" ht="20.25" x14ac:dyDescent="0.3">
      <c r="A299" s="99"/>
      <c r="B299" s="100"/>
      <c r="C299" s="101"/>
      <c r="D299" s="101"/>
      <c r="E299" s="101"/>
      <c r="F299" s="101"/>
      <c r="G299" s="101"/>
      <c r="H299" s="101"/>
      <c r="I299" s="101"/>
      <c r="J299" s="101"/>
      <c r="K299" s="33"/>
      <c r="L299" s="34"/>
      <c r="M299" s="104"/>
    </row>
    <row r="300" spans="1:13" ht="20.25" x14ac:dyDescent="0.3">
      <c r="A300" s="149" t="s">
        <v>11</v>
      </c>
      <c r="B300" s="149"/>
      <c r="C300" s="102"/>
      <c r="D300" s="150" t="s">
        <v>15</v>
      </c>
      <c r="E300" s="150"/>
      <c r="F300" s="102"/>
      <c r="G300" s="150" t="s">
        <v>16</v>
      </c>
      <c r="H300" s="150"/>
      <c r="I300" s="102"/>
      <c r="J300" s="102"/>
      <c r="K300" s="35"/>
      <c r="L300" s="36"/>
      <c r="M300" s="121" t="s">
        <v>262</v>
      </c>
    </row>
  </sheetData>
  <autoFilter ref="J1:J300" xr:uid="{00000000-0009-0000-0000-000000000000}">
    <filterColumn colId="0">
      <filters blank="1">
        <filter val="Available"/>
        <filter val="Remark"/>
        <filter val="Remark's"/>
        <filter val="Status"/>
      </filters>
    </filterColumn>
  </autoFilter>
  <mergeCells count="12">
    <mergeCell ref="A300:B300"/>
    <mergeCell ref="D300:E300"/>
    <mergeCell ref="G300:H300"/>
    <mergeCell ref="A1:M1"/>
    <mergeCell ref="A3:M3"/>
    <mergeCell ref="A107:B107"/>
    <mergeCell ref="A291:B291"/>
    <mergeCell ref="A222:B222"/>
    <mergeCell ref="A225:B225"/>
    <mergeCell ref="A110:B110"/>
    <mergeCell ref="A181:B181"/>
    <mergeCell ref="A184:B184"/>
  </mergeCells>
  <conditionalFormatting sqref="H293 H295:I296 H298:I1048576 H109:I165 H168:I181 H183:I222 H224:I292 H1:I107">
    <cfRule type="cellIs" dxfId="7" priority="25" operator="equal">
      <formula>0</formula>
    </cfRule>
  </conditionalFormatting>
  <conditionalFormatting sqref="J80:J82 L80:L82 J110:L165 J168:L181 K166:L167 J184:L222 J225:L292 J83:L107 J1:L79">
    <cfRule type="cellIs" dxfId="6" priority="8" operator="equal">
      <formula>"No Stock"</formula>
    </cfRule>
    <cfRule type="cellIs" dxfId="5" priority="9" operator="equal">
      <formula>"No Stock"</formula>
    </cfRule>
  </conditionalFormatting>
  <conditionalFormatting sqref="J295:L296 J298:L300 K297:L297">
    <cfRule type="cellIs" dxfId="4" priority="34" operator="equal">
      <formula>"No Stock"</formula>
    </cfRule>
    <cfRule type="cellIs" dxfId="3" priority="35" operator="equal">
      <formula>"No Stock"</formula>
    </cfRule>
  </conditionalFormatting>
  <conditionalFormatting sqref="H166:I167">
    <cfRule type="cellIs" dxfId="2" priority="3" operator="equal">
      <formula>0</formula>
    </cfRule>
  </conditionalFormatting>
  <conditionalFormatting sqref="J166:J167">
    <cfRule type="cellIs" dxfId="1" priority="1" operator="equal">
      <formula>"No Stock"</formula>
    </cfRule>
    <cfRule type="cellIs" dxfId="0" priority="2" operator="equal">
      <formula>"No Stock"</formula>
    </cfRule>
  </conditionalFormatting>
  <pageMargins left="0.2" right="0.3" top="0.3" bottom="0.4" header="0.3" footer="0.3"/>
  <pageSetup scale="75" orientation="portrait" r:id="rId1"/>
  <headerFooter>
    <oddFooter>Page &amp;P</oddFooter>
  </headerFooter>
  <ignoredErrors>
    <ignoredError sqref="H107 F87 F173:F174 F13:F16 F124 G110 D225 F89 F48:F49 D110 F128 F78 F179 D184 F84 F72:F74 F2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54"/>
  <sheetViews>
    <sheetView topLeftCell="A7" workbookViewId="0">
      <selection activeCell="E4" sqref="E4:H29"/>
    </sheetView>
  </sheetViews>
  <sheetFormatPr defaultColWidth="8.85546875" defaultRowHeight="15" x14ac:dyDescent="0.25"/>
  <cols>
    <col min="1" max="16384" width="8.85546875" style="1"/>
  </cols>
  <sheetData>
    <row r="1" spans="1:16" x14ac:dyDescent="0.25">
      <c r="A1" s="166">
        <v>1</v>
      </c>
      <c r="B1" s="167"/>
      <c r="C1" s="168"/>
      <c r="D1" s="169"/>
      <c r="E1" s="166">
        <v>2</v>
      </c>
      <c r="F1" s="167"/>
      <c r="G1" s="168"/>
      <c r="H1" s="169"/>
      <c r="I1" s="166">
        <v>3</v>
      </c>
      <c r="J1" s="167"/>
      <c r="K1" s="168"/>
      <c r="L1" s="169"/>
      <c r="M1" s="166">
        <v>4</v>
      </c>
      <c r="N1" s="167"/>
      <c r="O1" s="168"/>
      <c r="P1" s="169"/>
    </row>
    <row r="2" spans="1:16" x14ac:dyDescent="0.25">
      <c r="A2" s="166"/>
      <c r="B2" s="170"/>
      <c r="C2" s="171"/>
      <c r="D2" s="172"/>
      <c r="E2" s="166"/>
      <c r="F2" s="170"/>
      <c r="G2" s="171"/>
      <c r="H2" s="172"/>
      <c r="I2" s="166"/>
      <c r="J2" s="170"/>
      <c r="K2" s="171"/>
      <c r="L2" s="172"/>
      <c r="M2" s="166"/>
      <c r="N2" s="170"/>
      <c r="O2" s="171"/>
      <c r="P2" s="172"/>
    </row>
    <row r="3" spans="1:16" x14ac:dyDescent="0.25">
      <c r="A3" s="166"/>
      <c r="B3" s="170"/>
      <c r="C3" s="171"/>
      <c r="D3" s="172"/>
      <c r="E3" s="166"/>
      <c r="F3" s="170"/>
      <c r="G3" s="171"/>
      <c r="H3" s="172"/>
      <c r="I3" s="166"/>
      <c r="J3" s="170"/>
      <c r="K3" s="171"/>
      <c r="L3" s="172"/>
      <c r="M3" s="166"/>
      <c r="N3" s="170"/>
      <c r="O3" s="171"/>
      <c r="P3" s="172"/>
    </row>
    <row r="4" spans="1:16" x14ac:dyDescent="0.25">
      <c r="A4" s="166"/>
      <c r="B4" s="170"/>
      <c r="C4" s="171"/>
      <c r="D4" s="172"/>
      <c r="E4" s="166"/>
      <c r="F4" s="170"/>
      <c r="G4" s="171"/>
      <c r="H4" s="172"/>
      <c r="I4" s="166"/>
      <c r="J4" s="170"/>
      <c r="K4" s="171"/>
      <c r="L4" s="172"/>
      <c r="M4" s="166"/>
      <c r="N4" s="170"/>
      <c r="O4" s="171"/>
      <c r="P4" s="172"/>
    </row>
    <row r="5" spans="1:16" x14ac:dyDescent="0.25">
      <c r="A5" s="166"/>
      <c r="B5" s="170"/>
      <c r="C5" s="171"/>
      <c r="D5" s="172"/>
      <c r="E5" s="166"/>
      <c r="F5" s="170"/>
      <c r="G5" s="171"/>
      <c r="H5" s="172"/>
      <c r="I5" s="166"/>
      <c r="J5" s="170"/>
      <c r="K5" s="171"/>
      <c r="L5" s="172"/>
      <c r="M5" s="166"/>
      <c r="N5" s="170"/>
      <c r="O5" s="171"/>
      <c r="P5" s="172"/>
    </row>
    <row r="6" spans="1:16" x14ac:dyDescent="0.25">
      <c r="A6" s="166"/>
      <c r="B6" s="170"/>
      <c r="C6" s="171"/>
      <c r="D6" s="172"/>
      <c r="E6" s="166"/>
      <c r="F6" s="170"/>
      <c r="G6" s="171"/>
      <c r="H6" s="172"/>
      <c r="I6" s="166"/>
      <c r="J6" s="170"/>
      <c r="K6" s="171"/>
      <c r="L6" s="172"/>
      <c r="M6" s="166"/>
      <c r="N6" s="170"/>
      <c r="O6" s="171"/>
      <c r="P6" s="172"/>
    </row>
    <row r="7" spans="1:16" x14ac:dyDescent="0.25">
      <c r="A7" s="166"/>
      <c r="B7" s="170"/>
      <c r="C7" s="171"/>
      <c r="D7" s="172"/>
      <c r="E7" s="166"/>
      <c r="F7" s="170"/>
      <c r="G7" s="171"/>
      <c r="H7" s="172"/>
      <c r="I7" s="166"/>
      <c r="J7" s="170"/>
      <c r="K7" s="171"/>
      <c r="L7" s="172"/>
      <c r="M7" s="166"/>
      <c r="N7" s="170"/>
      <c r="O7" s="171"/>
      <c r="P7" s="172"/>
    </row>
    <row r="8" spans="1:16" x14ac:dyDescent="0.25">
      <c r="A8" s="166"/>
      <c r="B8" s="170"/>
      <c r="C8" s="171"/>
      <c r="D8" s="172"/>
      <c r="E8" s="166"/>
      <c r="F8" s="170"/>
      <c r="G8" s="171"/>
      <c r="H8" s="172"/>
      <c r="I8" s="166"/>
      <c r="J8" s="170"/>
      <c r="K8" s="171"/>
      <c r="L8" s="172"/>
      <c r="M8" s="166"/>
      <c r="N8" s="170"/>
      <c r="O8" s="171"/>
      <c r="P8" s="172"/>
    </row>
    <row r="9" spans="1:16" x14ac:dyDescent="0.25">
      <c r="A9" s="166"/>
      <c r="B9" s="170"/>
      <c r="C9" s="171"/>
      <c r="D9" s="172"/>
      <c r="E9" s="166"/>
      <c r="F9" s="170"/>
      <c r="G9" s="171"/>
      <c r="H9" s="172"/>
      <c r="I9" s="166"/>
      <c r="J9" s="170"/>
      <c r="K9" s="171"/>
      <c r="L9" s="172"/>
      <c r="M9" s="166"/>
      <c r="N9" s="170"/>
      <c r="O9" s="171"/>
      <c r="P9" s="172"/>
    </row>
    <row r="10" spans="1:16" x14ac:dyDescent="0.25">
      <c r="A10" s="166"/>
      <c r="B10" s="170"/>
      <c r="C10" s="171"/>
      <c r="D10" s="172"/>
      <c r="E10" s="166"/>
      <c r="F10" s="170"/>
      <c r="G10" s="171"/>
      <c r="H10" s="172"/>
      <c r="I10" s="166"/>
      <c r="J10" s="170"/>
      <c r="K10" s="171"/>
      <c r="L10" s="172"/>
      <c r="M10" s="166"/>
      <c r="N10" s="170"/>
      <c r="O10" s="171"/>
      <c r="P10" s="172"/>
    </row>
    <row r="11" spans="1:16" x14ac:dyDescent="0.25">
      <c r="A11" s="166"/>
      <c r="B11" s="170"/>
      <c r="C11" s="171"/>
      <c r="D11" s="172"/>
      <c r="E11" s="166"/>
      <c r="F11" s="170"/>
      <c r="G11" s="171"/>
      <c r="H11" s="172"/>
      <c r="I11" s="166"/>
      <c r="J11" s="170"/>
      <c r="K11" s="171"/>
      <c r="L11" s="172"/>
      <c r="M11" s="166"/>
      <c r="N11" s="170"/>
      <c r="O11" s="171"/>
      <c r="P11" s="172"/>
    </row>
    <row r="12" spans="1:16" x14ac:dyDescent="0.25">
      <c r="A12" s="166"/>
      <c r="B12" s="173"/>
      <c r="C12" s="174"/>
      <c r="D12" s="175"/>
      <c r="E12" s="166"/>
      <c r="F12" s="173"/>
      <c r="G12" s="174"/>
      <c r="H12" s="175"/>
      <c r="I12" s="166"/>
      <c r="J12" s="173"/>
      <c r="K12" s="174"/>
      <c r="L12" s="175"/>
      <c r="M12" s="166"/>
      <c r="N12" s="173"/>
      <c r="O12" s="174"/>
      <c r="P12" s="175"/>
    </row>
    <row r="13" spans="1:16" x14ac:dyDescent="0.25">
      <c r="A13" s="166"/>
      <c r="B13" s="176" t="s">
        <v>22</v>
      </c>
      <c r="C13" s="176"/>
      <c r="D13" s="176"/>
      <c r="E13" s="166"/>
      <c r="F13" s="176" t="s">
        <v>23</v>
      </c>
      <c r="G13" s="176"/>
      <c r="H13" s="176"/>
      <c r="I13" s="166"/>
      <c r="J13" s="176" t="s">
        <v>48</v>
      </c>
      <c r="K13" s="176"/>
      <c r="L13" s="176"/>
      <c r="M13" s="166"/>
      <c r="N13" s="176" t="s">
        <v>24</v>
      </c>
      <c r="O13" s="176"/>
      <c r="P13" s="176"/>
    </row>
    <row r="14" spans="1:16" x14ac:dyDescent="0.25">
      <c r="A14" s="166"/>
      <c r="B14" s="176"/>
      <c r="C14" s="176"/>
      <c r="D14" s="176"/>
      <c r="E14" s="166"/>
      <c r="F14" s="176"/>
      <c r="G14" s="176"/>
      <c r="H14" s="176"/>
      <c r="I14" s="166"/>
      <c r="J14" s="176"/>
      <c r="K14" s="176"/>
      <c r="L14" s="176"/>
      <c r="M14" s="166"/>
      <c r="N14" s="176"/>
      <c r="O14" s="176"/>
      <c r="P14" s="176"/>
    </row>
    <row r="15" spans="1:16" x14ac:dyDescent="0.25">
      <c r="A15" s="166">
        <v>2</v>
      </c>
      <c r="B15" s="167"/>
      <c r="C15" s="168"/>
      <c r="D15" s="169"/>
      <c r="E15" s="166">
        <v>3</v>
      </c>
      <c r="F15" s="167"/>
      <c r="G15" s="168"/>
      <c r="H15" s="169"/>
      <c r="I15" s="166">
        <v>4</v>
      </c>
      <c r="J15" s="167"/>
      <c r="K15" s="168"/>
      <c r="L15" s="169"/>
      <c r="M15" s="166">
        <v>5</v>
      </c>
      <c r="N15" s="167"/>
      <c r="O15" s="168"/>
      <c r="P15" s="169"/>
    </row>
    <row r="16" spans="1:16" x14ac:dyDescent="0.25">
      <c r="A16" s="166"/>
      <c r="B16" s="170"/>
      <c r="C16" s="171"/>
      <c r="D16" s="172"/>
      <c r="E16" s="166"/>
      <c r="F16" s="170"/>
      <c r="G16" s="171"/>
      <c r="H16" s="172"/>
      <c r="I16" s="166"/>
      <c r="J16" s="170"/>
      <c r="K16" s="171"/>
      <c r="L16" s="172"/>
      <c r="M16" s="166"/>
      <c r="N16" s="170"/>
      <c r="O16" s="171"/>
      <c r="P16" s="172"/>
    </row>
    <row r="17" spans="1:16" x14ac:dyDescent="0.25">
      <c r="A17" s="166"/>
      <c r="B17" s="170"/>
      <c r="C17" s="171"/>
      <c r="D17" s="172"/>
      <c r="E17" s="166"/>
      <c r="F17" s="170"/>
      <c r="G17" s="171"/>
      <c r="H17" s="172"/>
      <c r="I17" s="166"/>
      <c r="J17" s="170"/>
      <c r="K17" s="171"/>
      <c r="L17" s="172"/>
      <c r="M17" s="166"/>
      <c r="N17" s="170"/>
      <c r="O17" s="171"/>
      <c r="P17" s="172"/>
    </row>
    <row r="18" spans="1:16" x14ac:dyDescent="0.25">
      <c r="A18" s="166"/>
      <c r="B18" s="170"/>
      <c r="C18" s="171"/>
      <c r="D18" s="172"/>
      <c r="E18" s="166"/>
      <c r="F18" s="170"/>
      <c r="G18" s="171"/>
      <c r="H18" s="172"/>
      <c r="I18" s="166"/>
      <c r="J18" s="170"/>
      <c r="K18" s="171"/>
      <c r="L18" s="172"/>
      <c r="M18" s="166"/>
      <c r="N18" s="170"/>
      <c r="O18" s="171"/>
      <c r="P18" s="172"/>
    </row>
    <row r="19" spans="1:16" x14ac:dyDescent="0.25">
      <c r="A19" s="166"/>
      <c r="B19" s="170"/>
      <c r="C19" s="171"/>
      <c r="D19" s="172"/>
      <c r="E19" s="166"/>
      <c r="F19" s="170"/>
      <c r="G19" s="171"/>
      <c r="H19" s="172"/>
      <c r="I19" s="166"/>
      <c r="J19" s="170"/>
      <c r="K19" s="171"/>
      <c r="L19" s="172"/>
      <c r="M19" s="166"/>
      <c r="N19" s="170"/>
      <c r="O19" s="171"/>
      <c r="P19" s="172"/>
    </row>
    <row r="20" spans="1:16" x14ac:dyDescent="0.25">
      <c r="A20" s="166"/>
      <c r="B20" s="170"/>
      <c r="C20" s="171"/>
      <c r="D20" s="172"/>
      <c r="E20" s="166"/>
      <c r="F20" s="170"/>
      <c r="G20" s="171"/>
      <c r="H20" s="172"/>
      <c r="I20" s="166"/>
      <c r="J20" s="170"/>
      <c r="K20" s="171"/>
      <c r="L20" s="172"/>
      <c r="M20" s="166"/>
      <c r="N20" s="170"/>
      <c r="O20" s="171"/>
      <c r="P20" s="172"/>
    </row>
    <row r="21" spans="1:16" x14ac:dyDescent="0.25">
      <c r="A21" s="166"/>
      <c r="B21" s="170"/>
      <c r="C21" s="171"/>
      <c r="D21" s="172"/>
      <c r="E21" s="166"/>
      <c r="F21" s="170"/>
      <c r="G21" s="171"/>
      <c r="H21" s="172"/>
      <c r="I21" s="166"/>
      <c r="J21" s="170"/>
      <c r="K21" s="171"/>
      <c r="L21" s="172"/>
      <c r="M21" s="166"/>
      <c r="N21" s="170"/>
      <c r="O21" s="171"/>
      <c r="P21" s="172"/>
    </row>
    <row r="22" spans="1:16" x14ac:dyDescent="0.25">
      <c r="A22" s="166"/>
      <c r="B22" s="170"/>
      <c r="C22" s="171"/>
      <c r="D22" s="172"/>
      <c r="E22" s="166"/>
      <c r="F22" s="170"/>
      <c r="G22" s="171"/>
      <c r="H22" s="172"/>
      <c r="I22" s="166"/>
      <c r="J22" s="170"/>
      <c r="K22" s="171"/>
      <c r="L22" s="172"/>
      <c r="M22" s="166"/>
      <c r="N22" s="170"/>
      <c r="O22" s="171"/>
      <c r="P22" s="172"/>
    </row>
    <row r="23" spans="1:16" x14ac:dyDescent="0.25">
      <c r="A23" s="166"/>
      <c r="B23" s="170"/>
      <c r="C23" s="171"/>
      <c r="D23" s="172"/>
      <c r="E23" s="166"/>
      <c r="F23" s="170"/>
      <c r="G23" s="171"/>
      <c r="H23" s="172"/>
      <c r="I23" s="166"/>
      <c r="J23" s="170"/>
      <c r="K23" s="171"/>
      <c r="L23" s="172"/>
      <c r="M23" s="166"/>
      <c r="N23" s="170"/>
      <c r="O23" s="171"/>
      <c r="P23" s="172"/>
    </row>
    <row r="24" spans="1:16" x14ac:dyDescent="0.25">
      <c r="A24" s="166"/>
      <c r="B24" s="170"/>
      <c r="C24" s="171"/>
      <c r="D24" s="172"/>
      <c r="E24" s="166"/>
      <c r="F24" s="170"/>
      <c r="G24" s="171"/>
      <c r="H24" s="172"/>
      <c r="I24" s="166"/>
      <c r="J24" s="170"/>
      <c r="K24" s="171"/>
      <c r="L24" s="172"/>
      <c r="M24" s="166"/>
      <c r="N24" s="170"/>
      <c r="O24" s="171"/>
      <c r="P24" s="172"/>
    </row>
    <row r="25" spans="1:16" x14ac:dyDescent="0.25">
      <c r="A25" s="166"/>
      <c r="B25" s="170"/>
      <c r="C25" s="171"/>
      <c r="D25" s="172"/>
      <c r="E25" s="166"/>
      <c r="F25" s="170"/>
      <c r="G25" s="171"/>
      <c r="H25" s="172"/>
      <c r="I25" s="166"/>
      <c r="J25" s="170"/>
      <c r="K25" s="171"/>
      <c r="L25" s="172"/>
      <c r="M25" s="166"/>
      <c r="N25" s="170"/>
      <c r="O25" s="171"/>
      <c r="P25" s="172"/>
    </row>
    <row r="26" spans="1:16" x14ac:dyDescent="0.25">
      <c r="A26" s="166"/>
      <c r="B26" s="173"/>
      <c r="C26" s="174"/>
      <c r="D26" s="175"/>
      <c r="E26" s="166"/>
      <c r="F26" s="173"/>
      <c r="G26" s="174"/>
      <c r="H26" s="175"/>
      <c r="I26" s="166"/>
      <c r="J26" s="173"/>
      <c r="K26" s="174"/>
      <c r="L26" s="175"/>
      <c r="M26" s="166"/>
      <c r="N26" s="173"/>
      <c r="O26" s="174"/>
      <c r="P26" s="175"/>
    </row>
    <row r="27" spans="1:16" x14ac:dyDescent="0.25">
      <c r="A27" s="166"/>
      <c r="B27" s="176" t="s">
        <v>26</v>
      </c>
      <c r="C27" s="176"/>
      <c r="D27" s="176"/>
      <c r="E27" s="166"/>
      <c r="F27" s="176" t="s">
        <v>25</v>
      </c>
      <c r="G27" s="176"/>
      <c r="H27" s="176"/>
      <c r="I27" s="166"/>
      <c r="J27" s="176" t="s">
        <v>27</v>
      </c>
      <c r="K27" s="176"/>
      <c r="L27" s="176"/>
      <c r="M27" s="166"/>
      <c r="N27" s="176" t="s">
        <v>28</v>
      </c>
      <c r="O27" s="176"/>
      <c r="P27" s="176"/>
    </row>
    <row r="28" spans="1:16" x14ac:dyDescent="0.25">
      <c r="A28" s="166"/>
      <c r="B28" s="176"/>
      <c r="C28" s="176"/>
      <c r="D28" s="176"/>
      <c r="E28" s="166"/>
      <c r="F28" s="176"/>
      <c r="G28" s="176"/>
      <c r="H28" s="176"/>
      <c r="I28" s="166"/>
      <c r="J28" s="176"/>
      <c r="K28" s="176"/>
      <c r="L28" s="176"/>
      <c r="M28" s="166"/>
      <c r="N28" s="176"/>
      <c r="O28" s="176"/>
      <c r="P28" s="176"/>
    </row>
    <row r="29" spans="1:16" x14ac:dyDescent="0.25">
      <c r="A29" s="166">
        <v>3</v>
      </c>
      <c r="B29" s="167"/>
      <c r="C29" s="168"/>
      <c r="D29" s="169"/>
      <c r="E29" s="166">
        <v>4</v>
      </c>
      <c r="F29" s="167"/>
      <c r="G29" s="168"/>
      <c r="H29" s="169"/>
      <c r="I29" s="166">
        <v>5</v>
      </c>
      <c r="J29" s="167"/>
      <c r="K29" s="168"/>
      <c r="L29" s="169"/>
      <c r="M29" s="166">
        <v>6</v>
      </c>
      <c r="N29" s="167"/>
      <c r="O29" s="168"/>
      <c r="P29" s="169"/>
    </row>
    <row r="30" spans="1:16" x14ac:dyDescent="0.25">
      <c r="A30" s="166"/>
      <c r="B30" s="170"/>
      <c r="C30" s="171"/>
      <c r="D30" s="172"/>
      <c r="E30" s="166"/>
      <c r="F30" s="170"/>
      <c r="G30" s="171"/>
      <c r="H30" s="172"/>
      <c r="I30" s="166"/>
      <c r="J30" s="170"/>
      <c r="K30" s="171"/>
      <c r="L30" s="172"/>
      <c r="M30" s="166"/>
      <c r="N30" s="170"/>
      <c r="O30" s="171"/>
      <c r="P30" s="172"/>
    </row>
    <row r="31" spans="1:16" x14ac:dyDescent="0.25">
      <c r="A31" s="166"/>
      <c r="B31" s="170"/>
      <c r="C31" s="171"/>
      <c r="D31" s="172"/>
      <c r="E31" s="166"/>
      <c r="F31" s="170"/>
      <c r="G31" s="171"/>
      <c r="H31" s="172"/>
      <c r="I31" s="166"/>
      <c r="J31" s="170"/>
      <c r="K31" s="171"/>
      <c r="L31" s="172"/>
      <c r="M31" s="166"/>
      <c r="N31" s="170"/>
      <c r="O31" s="171"/>
      <c r="P31" s="172"/>
    </row>
    <row r="32" spans="1:16" x14ac:dyDescent="0.25">
      <c r="A32" s="166"/>
      <c r="B32" s="170"/>
      <c r="C32" s="171"/>
      <c r="D32" s="172"/>
      <c r="E32" s="166"/>
      <c r="F32" s="170"/>
      <c r="G32" s="171"/>
      <c r="H32" s="172"/>
      <c r="I32" s="166"/>
      <c r="J32" s="170"/>
      <c r="K32" s="171"/>
      <c r="L32" s="172"/>
      <c r="M32" s="166"/>
      <c r="N32" s="170"/>
      <c r="O32" s="171"/>
      <c r="P32" s="172"/>
    </row>
    <row r="33" spans="1:16" x14ac:dyDescent="0.25">
      <c r="A33" s="166"/>
      <c r="B33" s="170"/>
      <c r="C33" s="171"/>
      <c r="D33" s="172"/>
      <c r="E33" s="166"/>
      <c r="F33" s="170"/>
      <c r="G33" s="171"/>
      <c r="H33" s="172"/>
      <c r="I33" s="166"/>
      <c r="J33" s="170"/>
      <c r="K33" s="171"/>
      <c r="L33" s="172"/>
      <c r="M33" s="166"/>
      <c r="N33" s="170"/>
      <c r="O33" s="171"/>
      <c r="P33" s="172"/>
    </row>
    <row r="34" spans="1:16" x14ac:dyDescent="0.25">
      <c r="A34" s="166"/>
      <c r="B34" s="170"/>
      <c r="C34" s="171"/>
      <c r="D34" s="172"/>
      <c r="E34" s="166"/>
      <c r="F34" s="170"/>
      <c r="G34" s="171"/>
      <c r="H34" s="172"/>
      <c r="I34" s="166"/>
      <c r="J34" s="170"/>
      <c r="K34" s="171"/>
      <c r="L34" s="172"/>
      <c r="M34" s="166"/>
      <c r="N34" s="170"/>
      <c r="O34" s="171"/>
      <c r="P34" s="172"/>
    </row>
    <row r="35" spans="1:16" x14ac:dyDescent="0.25">
      <c r="A35" s="166"/>
      <c r="B35" s="170"/>
      <c r="C35" s="171"/>
      <c r="D35" s="172"/>
      <c r="E35" s="166"/>
      <c r="F35" s="170"/>
      <c r="G35" s="171"/>
      <c r="H35" s="172"/>
      <c r="I35" s="166"/>
      <c r="J35" s="170"/>
      <c r="K35" s="171"/>
      <c r="L35" s="172"/>
      <c r="M35" s="166"/>
      <c r="N35" s="170"/>
      <c r="O35" s="171"/>
      <c r="P35" s="172"/>
    </row>
    <row r="36" spans="1:16" x14ac:dyDescent="0.25">
      <c r="A36" s="166"/>
      <c r="B36" s="170"/>
      <c r="C36" s="171"/>
      <c r="D36" s="172"/>
      <c r="E36" s="166"/>
      <c r="F36" s="170"/>
      <c r="G36" s="171"/>
      <c r="H36" s="172"/>
      <c r="I36" s="166"/>
      <c r="J36" s="170"/>
      <c r="K36" s="171"/>
      <c r="L36" s="172"/>
      <c r="M36" s="166"/>
      <c r="N36" s="170"/>
      <c r="O36" s="171"/>
      <c r="P36" s="172"/>
    </row>
    <row r="37" spans="1:16" x14ac:dyDescent="0.25">
      <c r="A37" s="166"/>
      <c r="B37" s="170"/>
      <c r="C37" s="171"/>
      <c r="D37" s="172"/>
      <c r="E37" s="166"/>
      <c r="F37" s="170"/>
      <c r="G37" s="171"/>
      <c r="H37" s="172"/>
      <c r="I37" s="166"/>
      <c r="J37" s="170"/>
      <c r="K37" s="171"/>
      <c r="L37" s="172"/>
      <c r="M37" s="166"/>
      <c r="N37" s="170"/>
      <c r="O37" s="171"/>
      <c r="P37" s="172"/>
    </row>
    <row r="38" spans="1:16" x14ac:dyDescent="0.25">
      <c r="A38" s="166"/>
      <c r="B38" s="170"/>
      <c r="C38" s="171"/>
      <c r="D38" s="172"/>
      <c r="E38" s="166"/>
      <c r="F38" s="170"/>
      <c r="G38" s="171"/>
      <c r="H38" s="172"/>
      <c r="I38" s="166"/>
      <c r="J38" s="170"/>
      <c r="K38" s="171"/>
      <c r="L38" s="172"/>
      <c r="M38" s="166"/>
      <c r="N38" s="170"/>
      <c r="O38" s="171"/>
      <c r="P38" s="172"/>
    </row>
    <row r="39" spans="1:16" x14ac:dyDescent="0.25">
      <c r="A39" s="166"/>
      <c r="B39" s="170"/>
      <c r="C39" s="171"/>
      <c r="D39" s="172"/>
      <c r="E39" s="166"/>
      <c r="F39" s="170"/>
      <c r="G39" s="171"/>
      <c r="H39" s="172"/>
      <c r="I39" s="166"/>
      <c r="J39" s="170"/>
      <c r="K39" s="171"/>
      <c r="L39" s="172"/>
      <c r="M39" s="166"/>
      <c r="N39" s="170"/>
      <c r="O39" s="171"/>
      <c r="P39" s="172"/>
    </row>
    <row r="40" spans="1:16" x14ac:dyDescent="0.25">
      <c r="A40" s="166"/>
      <c r="B40" s="173"/>
      <c r="C40" s="174"/>
      <c r="D40" s="175"/>
      <c r="E40" s="166"/>
      <c r="F40" s="173"/>
      <c r="G40" s="174"/>
      <c r="H40" s="175"/>
      <c r="I40" s="166"/>
      <c r="J40" s="173"/>
      <c r="K40" s="174"/>
      <c r="L40" s="175"/>
      <c r="M40" s="166"/>
      <c r="N40" s="173"/>
      <c r="O40" s="174"/>
      <c r="P40" s="175"/>
    </row>
    <row r="41" spans="1:16" ht="14.1" customHeight="1" x14ac:dyDescent="0.25">
      <c r="A41" s="166"/>
      <c r="B41" s="176" t="s">
        <v>29</v>
      </c>
      <c r="C41" s="176"/>
      <c r="D41" s="176"/>
      <c r="E41" s="166"/>
      <c r="F41" s="176" t="s">
        <v>30</v>
      </c>
      <c r="G41" s="176"/>
      <c r="H41" s="176"/>
      <c r="I41" s="166"/>
      <c r="J41" s="176" t="s">
        <v>31</v>
      </c>
      <c r="K41" s="176"/>
      <c r="L41" s="176"/>
      <c r="M41" s="166"/>
      <c r="N41" s="176" t="s">
        <v>32</v>
      </c>
      <c r="O41" s="176"/>
      <c r="P41" s="176"/>
    </row>
    <row r="42" spans="1:16" ht="14.1" customHeight="1" x14ac:dyDescent="0.25">
      <c r="A42" s="166"/>
      <c r="B42" s="176"/>
      <c r="C42" s="176"/>
      <c r="D42" s="176"/>
      <c r="E42" s="166"/>
      <c r="F42" s="176"/>
      <c r="G42" s="176"/>
      <c r="H42" s="176"/>
      <c r="I42" s="166"/>
      <c r="J42" s="176"/>
      <c r="K42" s="176"/>
      <c r="L42" s="176"/>
      <c r="M42" s="166"/>
      <c r="N42" s="176"/>
      <c r="O42" s="176"/>
      <c r="P42" s="176"/>
    </row>
    <row r="43" spans="1:16" x14ac:dyDescent="0.25">
      <c r="A43" s="166">
        <v>4</v>
      </c>
      <c r="B43" s="167"/>
      <c r="C43" s="168"/>
      <c r="D43" s="169"/>
      <c r="E43" s="166">
        <v>5</v>
      </c>
      <c r="F43" s="167"/>
      <c r="G43" s="168"/>
      <c r="H43" s="169"/>
      <c r="I43" s="166">
        <v>6</v>
      </c>
      <c r="J43" s="167"/>
      <c r="K43" s="168"/>
      <c r="L43" s="169"/>
      <c r="M43" s="166">
        <v>7</v>
      </c>
      <c r="N43" s="167"/>
      <c r="O43" s="168"/>
      <c r="P43" s="169"/>
    </row>
    <row r="44" spans="1:16" x14ac:dyDescent="0.25">
      <c r="A44" s="166"/>
      <c r="B44" s="170"/>
      <c r="C44" s="171"/>
      <c r="D44" s="172"/>
      <c r="E44" s="166"/>
      <c r="F44" s="170"/>
      <c r="G44" s="171"/>
      <c r="H44" s="172"/>
      <c r="I44" s="166"/>
      <c r="J44" s="170"/>
      <c r="K44" s="171"/>
      <c r="L44" s="172"/>
      <c r="M44" s="166"/>
      <c r="N44" s="170"/>
      <c r="O44" s="171"/>
      <c r="P44" s="172"/>
    </row>
    <row r="45" spans="1:16" x14ac:dyDescent="0.25">
      <c r="A45" s="166"/>
      <c r="B45" s="170"/>
      <c r="C45" s="171"/>
      <c r="D45" s="172"/>
      <c r="E45" s="166"/>
      <c r="F45" s="170"/>
      <c r="G45" s="171"/>
      <c r="H45" s="172"/>
      <c r="I45" s="166"/>
      <c r="J45" s="170"/>
      <c r="K45" s="171"/>
      <c r="L45" s="172"/>
      <c r="M45" s="166"/>
      <c r="N45" s="170"/>
      <c r="O45" s="171"/>
      <c r="P45" s="172"/>
    </row>
    <row r="46" spans="1:16" x14ac:dyDescent="0.25">
      <c r="A46" s="166"/>
      <c r="B46" s="170"/>
      <c r="C46" s="171"/>
      <c r="D46" s="172"/>
      <c r="E46" s="166"/>
      <c r="F46" s="170"/>
      <c r="G46" s="171"/>
      <c r="H46" s="172"/>
      <c r="I46" s="166"/>
      <c r="J46" s="170"/>
      <c r="K46" s="171"/>
      <c r="L46" s="172"/>
      <c r="M46" s="166"/>
      <c r="N46" s="170"/>
      <c r="O46" s="171"/>
      <c r="P46" s="172"/>
    </row>
    <row r="47" spans="1:16" x14ac:dyDescent="0.25">
      <c r="A47" s="166"/>
      <c r="B47" s="170"/>
      <c r="C47" s="171"/>
      <c r="D47" s="172"/>
      <c r="E47" s="166"/>
      <c r="F47" s="170"/>
      <c r="G47" s="171"/>
      <c r="H47" s="172"/>
      <c r="I47" s="166"/>
      <c r="J47" s="170"/>
      <c r="K47" s="171"/>
      <c r="L47" s="172"/>
      <c r="M47" s="166"/>
      <c r="N47" s="170"/>
      <c r="O47" s="171"/>
      <c r="P47" s="172"/>
    </row>
    <row r="48" spans="1:16" x14ac:dyDescent="0.25">
      <c r="A48" s="166"/>
      <c r="B48" s="170"/>
      <c r="C48" s="171"/>
      <c r="D48" s="172"/>
      <c r="E48" s="166"/>
      <c r="F48" s="170"/>
      <c r="G48" s="171"/>
      <c r="H48" s="172"/>
      <c r="I48" s="166"/>
      <c r="J48" s="170"/>
      <c r="K48" s="171"/>
      <c r="L48" s="172"/>
      <c r="M48" s="166"/>
      <c r="N48" s="170"/>
      <c r="O48" s="171"/>
      <c r="P48" s="172"/>
    </row>
    <row r="49" spans="1:16" x14ac:dyDescent="0.25">
      <c r="A49" s="166"/>
      <c r="B49" s="170"/>
      <c r="C49" s="171"/>
      <c r="D49" s="172"/>
      <c r="E49" s="166"/>
      <c r="F49" s="170"/>
      <c r="G49" s="171"/>
      <c r="H49" s="172"/>
      <c r="I49" s="166"/>
      <c r="J49" s="170"/>
      <c r="K49" s="171"/>
      <c r="L49" s="172"/>
      <c r="M49" s="166"/>
      <c r="N49" s="170"/>
      <c r="O49" s="171"/>
      <c r="P49" s="172"/>
    </row>
    <row r="50" spans="1:16" x14ac:dyDescent="0.25">
      <c r="A50" s="166"/>
      <c r="B50" s="170"/>
      <c r="C50" s="171"/>
      <c r="D50" s="172"/>
      <c r="E50" s="166"/>
      <c r="F50" s="170"/>
      <c r="G50" s="171"/>
      <c r="H50" s="172"/>
      <c r="I50" s="166"/>
      <c r="J50" s="170"/>
      <c r="K50" s="171"/>
      <c r="L50" s="172"/>
      <c r="M50" s="166"/>
      <c r="N50" s="170"/>
      <c r="O50" s="171"/>
      <c r="P50" s="172"/>
    </row>
    <row r="51" spans="1:16" x14ac:dyDescent="0.25">
      <c r="A51" s="166"/>
      <c r="B51" s="170"/>
      <c r="C51" s="171"/>
      <c r="D51" s="172"/>
      <c r="E51" s="166"/>
      <c r="F51" s="170"/>
      <c r="G51" s="171"/>
      <c r="H51" s="172"/>
      <c r="I51" s="166"/>
      <c r="J51" s="170"/>
      <c r="K51" s="171"/>
      <c r="L51" s="172"/>
      <c r="M51" s="166"/>
      <c r="N51" s="170"/>
      <c r="O51" s="171"/>
      <c r="P51" s="172"/>
    </row>
    <row r="52" spans="1:16" x14ac:dyDescent="0.25">
      <c r="A52" s="166"/>
      <c r="B52" s="170"/>
      <c r="C52" s="171"/>
      <c r="D52" s="172"/>
      <c r="E52" s="166"/>
      <c r="F52" s="170"/>
      <c r="G52" s="171"/>
      <c r="H52" s="172"/>
      <c r="I52" s="166"/>
      <c r="J52" s="170"/>
      <c r="K52" s="171"/>
      <c r="L52" s="172"/>
      <c r="M52" s="166"/>
      <c r="N52" s="170"/>
      <c r="O52" s="171"/>
      <c r="P52" s="172"/>
    </row>
    <row r="53" spans="1:16" x14ac:dyDescent="0.25">
      <c r="A53" s="166"/>
      <c r="B53" s="170"/>
      <c r="C53" s="171"/>
      <c r="D53" s="172"/>
      <c r="E53" s="166"/>
      <c r="F53" s="170"/>
      <c r="G53" s="171"/>
      <c r="H53" s="172"/>
      <c r="I53" s="166"/>
      <c r="J53" s="170"/>
      <c r="K53" s="171"/>
      <c r="L53" s="172"/>
      <c r="M53" s="166"/>
      <c r="N53" s="170"/>
      <c r="O53" s="171"/>
      <c r="P53" s="172"/>
    </row>
    <row r="54" spans="1:16" x14ac:dyDescent="0.25">
      <c r="A54" s="166"/>
      <c r="B54" s="173"/>
      <c r="C54" s="174"/>
      <c r="D54" s="175"/>
      <c r="E54" s="166"/>
      <c r="F54" s="173"/>
      <c r="G54" s="174"/>
      <c r="H54" s="175"/>
      <c r="I54" s="166"/>
      <c r="J54" s="173"/>
      <c r="K54" s="174"/>
      <c r="L54" s="175"/>
      <c r="M54" s="166"/>
      <c r="N54" s="173"/>
      <c r="O54" s="174"/>
      <c r="P54" s="175"/>
    </row>
    <row r="55" spans="1:16" x14ac:dyDescent="0.25">
      <c r="A55" s="166"/>
      <c r="B55" s="176" t="s">
        <v>33</v>
      </c>
      <c r="C55" s="176"/>
      <c r="D55" s="176"/>
      <c r="E55" s="166"/>
      <c r="F55" s="176" t="s">
        <v>47</v>
      </c>
      <c r="G55" s="176"/>
      <c r="H55" s="176"/>
      <c r="I55" s="166"/>
      <c r="J55" s="176" t="s">
        <v>34</v>
      </c>
      <c r="K55" s="176"/>
      <c r="L55" s="176"/>
      <c r="M55" s="166"/>
      <c r="N55" s="176" t="s">
        <v>35</v>
      </c>
      <c r="O55" s="176"/>
      <c r="P55" s="176"/>
    </row>
    <row r="56" spans="1:16" x14ac:dyDescent="0.25">
      <c r="A56" s="166"/>
      <c r="B56" s="176"/>
      <c r="C56" s="176"/>
      <c r="D56" s="176"/>
      <c r="E56" s="166"/>
      <c r="F56" s="176"/>
      <c r="G56" s="176"/>
      <c r="H56" s="176"/>
      <c r="I56" s="166"/>
      <c r="J56" s="176"/>
      <c r="K56" s="176"/>
      <c r="L56" s="176"/>
      <c r="M56" s="166"/>
      <c r="N56" s="176"/>
      <c r="O56" s="176"/>
      <c r="P56" s="176"/>
    </row>
    <row r="57" spans="1:16" x14ac:dyDescent="0.25">
      <c r="A57" s="166">
        <v>5</v>
      </c>
      <c r="B57" s="167"/>
      <c r="C57" s="168"/>
      <c r="D57" s="169"/>
      <c r="E57" s="166">
        <v>6</v>
      </c>
      <c r="F57" s="167"/>
      <c r="G57" s="168"/>
      <c r="H57" s="169"/>
      <c r="I57" s="166">
        <v>7</v>
      </c>
      <c r="J57" s="167"/>
      <c r="K57" s="168"/>
      <c r="L57" s="169"/>
      <c r="M57" s="166">
        <v>8</v>
      </c>
      <c r="N57" s="167"/>
      <c r="O57" s="168"/>
      <c r="P57" s="169"/>
    </row>
    <row r="58" spans="1:16" x14ac:dyDescent="0.25">
      <c r="A58" s="166"/>
      <c r="B58" s="170"/>
      <c r="C58" s="171"/>
      <c r="D58" s="172"/>
      <c r="E58" s="166"/>
      <c r="F58" s="170"/>
      <c r="G58" s="171"/>
      <c r="H58" s="172"/>
      <c r="I58" s="166"/>
      <c r="J58" s="170"/>
      <c r="K58" s="171"/>
      <c r="L58" s="172"/>
      <c r="M58" s="166"/>
      <c r="N58" s="170"/>
      <c r="O58" s="171"/>
      <c r="P58" s="172"/>
    </row>
    <row r="59" spans="1:16" x14ac:dyDescent="0.25">
      <c r="A59" s="166"/>
      <c r="B59" s="170"/>
      <c r="C59" s="171"/>
      <c r="D59" s="172"/>
      <c r="E59" s="166"/>
      <c r="F59" s="170"/>
      <c r="G59" s="171"/>
      <c r="H59" s="172"/>
      <c r="I59" s="166"/>
      <c r="J59" s="170"/>
      <c r="K59" s="171"/>
      <c r="L59" s="172"/>
      <c r="M59" s="166"/>
      <c r="N59" s="170"/>
      <c r="O59" s="171"/>
      <c r="P59" s="172"/>
    </row>
    <row r="60" spans="1:16" x14ac:dyDescent="0.25">
      <c r="A60" s="166"/>
      <c r="B60" s="170"/>
      <c r="C60" s="171"/>
      <c r="D60" s="172"/>
      <c r="E60" s="166"/>
      <c r="F60" s="170"/>
      <c r="G60" s="171"/>
      <c r="H60" s="172"/>
      <c r="I60" s="166"/>
      <c r="J60" s="170"/>
      <c r="K60" s="171"/>
      <c r="L60" s="172"/>
      <c r="M60" s="166"/>
      <c r="N60" s="170"/>
      <c r="O60" s="171"/>
      <c r="P60" s="172"/>
    </row>
    <row r="61" spans="1:16" x14ac:dyDescent="0.25">
      <c r="A61" s="166"/>
      <c r="B61" s="170"/>
      <c r="C61" s="171"/>
      <c r="D61" s="172"/>
      <c r="E61" s="166"/>
      <c r="F61" s="170"/>
      <c r="G61" s="171"/>
      <c r="H61" s="172"/>
      <c r="I61" s="166"/>
      <c r="J61" s="170"/>
      <c r="K61" s="171"/>
      <c r="L61" s="172"/>
      <c r="M61" s="166"/>
      <c r="N61" s="170"/>
      <c r="O61" s="171"/>
      <c r="P61" s="172"/>
    </row>
    <row r="62" spans="1:16" x14ac:dyDescent="0.25">
      <c r="A62" s="166"/>
      <c r="B62" s="170"/>
      <c r="C62" s="171"/>
      <c r="D62" s="172"/>
      <c r="E62" s="166"/>
      <c r="F62" s="170"/>
      <c r="G62" s="171"/>
      <c r="H62" s="172"/>
      <c r="I62" s="166"/>
      <c r="J62" s="170"/>
      <c r="K62" s="171"/>
      <c r="L62" s="172"/>
      <c r="M62" s="166"/>
      <c r="N62" s="170"/>
      <c r="O62" s="171"/>
      <c r="P62" s="172"/>
    </row>
    <row r="63" spans="1:16" x14ac:dyDescent="0.25">
      <c r="A63" s="166"/>
      <c r="B63" s="170"/>
      <c r="C63" s="171"/>
      <c r="D63" s="172"/>
      <c r="E63" s="166"/>
      <c r="F63" s="170"/>
      <c r="G63" s="171"/>
      <c r="H63" s="172"/>
      <c r="I63" s="166"/>
      <c r="J63" s="170"/>
      <c r="K63" s="171"/>
      <c r="L63" s="172"/>
      <c r="M63" s="166"/>
      <c r="N63" s="170"/>
      <c r="O63" s="171"/>
      <c r="P63" s="172"/>
    </row>
    <row r="64" spans="1:16" x14ac:dyDescent="0.25">
      <c r="A64" s="166"/>
      <c r="B64" s="170"/>
      <c r="C64" s="171"/>
      <c r="D64" s="172"/>
      <c r="E64" s="166"/>
      <c r="F64" s="170"/>
      <c r="G64" s="171"/>
      <c r="H64" s="172"/>
      <c r="I64" s="166"/>
      <c r="J64" s="170"/>
      <c r="K64" s="171"/>
      <c r="L64" s="172"/>
      <c r="M64" s="166"/>
      <c r="N64" s="170"/>
      <c r="O64" s="171"/>
      <c r="P64" s="172"/>
    </row>
    <row r="65" spans="1:16" x14ac:dyDescent="0.25">
      <c r="A65" s="166"/>
      <c r="B65" s="170"/>
      <c r="C65" s="171"/>
      <c r="D65" s="172"/>
      <c r="E65" s="166"/>
      <c r="F65" s="170"/>
      <c r="G65" s="171"/>
      <c r="H65" s="172"/>
      <c r="I65" s="166"/>
      <c r="J65" s="170"/>
      <c r="K65" s="171"/>
      <c r="L65" s="172"/>
      <c r="M65" s="166"/>
      <c r="N65" s="170"/>
      <c r="O65" s="171"/>
      <c r="P65" s="172"/>
    </row>
    <row r="66" spans="1:16" x14ac:dyDescent="0.25">
      <c r="A66" s="166"/>
      <c r="B66" s="170"/>
      <c r="C66" s="171"/>
      <c r="D66" s="172"/>
      <c r="E66" s="166"/>
      <c r="F66" s="170"/>
      <c r="G66" s="171"/>
      <c r="H66" s="172"/>
      <c r="I66" s="166"/>
      <c r="J66" s="170"/>
      <c r="K66" s="171"/>
      <c r="L66" s="172"/>
      <c r="M66" s="166"/>
      <c r="N66" s="170"/>
      <c r="O66" s="171"/>
      <c r="P66" s="172"/>
    </row>
    <row r="67" spans="1:16" x14ac:dyDescent="0.25">
      <c r="A67" s="166"/>
      <c r="B67" s="170"/>
      <c r="C67" s="171"/>
      <c r="D67" s="172"/>
      <c r="E67" s="166"/>
      <c r="F67" s="170"/>
      <c r="G67" s="171"/>
      <c r="H67" s="172"/>
      <c r="I67" s="166"/>
      <c r="J67" s="170"/>
      <c r="K67" s="171"/>
      <c r="L67" s="172"/>
      <c r="M67" s="166"/>
      <c r="N67" s="170"/>
      <c r="O67" s="171"/>
      <c r="P67" s="172"/>
    </row>
    <row r="68" spans="1:16" x14ac:dyDescent="0.25">
      <c r="A68" s="166"/>
      <c r="B68" s="173"/>
      <c r="C68" s="174"/>
      <c r="D68" s="175"/>
      <c r="E68" s="166"/>
      <c r="F68" s="173"/>
      <c r="G68" s="174"/>
      <c r="H68" s="175"/>
      <c r="I68" s="166"/>
      <c r="J68" s="173"/>
      <c r="K68" s="174"/>
      <c r="L68" s="175"/>
      <c r="M68" s="166"/>
      <c r="N68" s="173"/>
      <c r="O68" s="174"/>
      <c r="P68" s="175"/>
    </row>
    <row r="69" spans="1:16" x14ac:dyDescent="0.25">
      <c r="A69" s="166"/>
      <c r="B69" s="176" t="s">
        <v>36</v>
      </c>
      <c r="C69" s="176"/>
      <c r="D69" s="176"/>
      <c r="E69" s="166"/>
      <c r="F69" s="176" t="s">
        <v>37</v>
      </c>
      <c r="G69" s="176"/>
      <c r="H69" s="176"/>
      <c r="I69" s="166"/>
      <c r="J69" s="176" t="s">
        <v>38</v>
      </c>
      <c r="K69" s="176"/>
      <c r="L69" s="176"/>
      <c r="M69" s="166"/>
      <c r="N69" s="176" t="s">
        <v>39</v>
      </c>
      <c r="O69" s="176"/>
      <c r="P69" s="176"/>
    </row>
    <row r="70" spans="1:16" x14ac:dyDescent="0.25">
      <c r="A70" s="166"/>
      <c r="B70" s="176"/>
      <c r="C70" s="176"/>
      <c r="D70" s="176"/>
      <c r="E70" s="166"/>
      <c r="F70" s="176"/>
      <c r="G70" s="176"/>
      <c r="H70" s="176"/>
      <c r="I70" s="166"/>
      <c r="J70" s="176"/>
      <c r="K70" s="176"/>
      <c r="L70" s="176"/>
      <c r="M70" s="166"/>
      <c r="N70" s="176"/>
      <c r="O70" s="176"/>
      <c r="P70" s="176"/>
    </row>
    <row r="71" spans="1:16" x14ac:dyDescent="0.25">
      <c r="A71" s="166">
        <v>6</v>
      </c>
      <c r="B71" s="167"/>
      <c r="C71" s="168"/>
      <c r="D71" s="169"/>
      <c r="E71" s="166">
        <v>7</v>
      </c>
      <c r="F71" s="167"/>
      <c r="G71" s="168"/>
      <c r="H71" s="169"/>
      <c r="I71" s="166">
        <v>8</v>
      </c>
      <c r="J71" s="167"/>
      <c r="K71" s="168"/>
      <c r="L71" s="169"/>
      <c r="M71" s="166">
        <v>9</v>
      </c>
      <c r="N71" s="167"/>
      <c r="O71" s="168"/>
      <c r="P71" s="169"/>
    </row>
    <row r="72" spans="1:16" x14ac:dyDescent="0.25">
      <c r="A72" s="166"/>
      <c r="B72" s="170"/>
      <c r="C72" s="171"/>
      <c r="D72" s="172"/>
      <c r="E72" s="166"/>
      <c r="F72" s="170"/>
      <c r="G72" s="171"/>
      <c r="H72" s="172"/>
      <c r="I72" s="166"/>
      <c r="J72" s="170"/>
      <c r="K72" s="171"/>
      <c r="L72" s="172"/>
      <c r="M72" s="166"/>
      <c r="N72" s="170"/>
      <c r="O72" s="171"/>
      <c r="P72" s="172"/>
    </row>
    <row r="73" spans="1:16" x14ac:dyDescent="0.25">
      <c r="A73" s="166"/>
      <c r="B73" s="170"/>
      <c r="C73" s="171"/>
      <c r="D73" s="172"/>
      <c r="E73" s="166"/>
      <c r="F73" s="170"/>
      <c r="G73" s="171"/>
      <c r="H73" s="172"/>
      <c r="I73" s="166"/>
      <c r="J73" s="170"/>
      <c r="K73" s="171"/>
      <c r="L73" s="172"/>
      <c r="M73" s="166"/>
      <c r="N73" s="170"/>
      <c r="O73" s="171"/>
      <c r="P73" s="172"/>
    </row>
    <row r="74" spans="1:16" x14ac:dyDescent="0.25">
      <c r="A74" s="166"/>
      <c r="B74" s="170"/>
      <c r="C74" s="171"/>
      <c r="D74" s="172"/>
      <c r="E74" s="166"/>
      <c r="F74" s="170"/>
      <c r="G74" s="171"/>
      <c r="H74" s="172"/>
      <c r="I74" s="166"/>
      <c r="J74" s="170"/>
      <c r="K74" s="171"/>
      <c r="L74" s="172"/>
      <c r="M74" s="166"/>
      <c r="N74" s="170"/>
      <c r="O74" s="171"/>
      <c r="P74" s="172"/>
    </row>
    <row r="75" spans="1:16" x14ac:dyDescent="0.25">
      <c r="A75" s="166"/>
      <c r="B75" s="170"/>
      <c r="C75" s="171"/>
      <c r="D75" s="172"/>
      <c r="E75" s="166"/>
      <c r="F75" s="170"/>
      <c r="G75" s="171"/>
      <c r="H75" s="172"/>
      <c r="I75" s="166"/>
      <c r="J75" s="170"/>
      <c r="K75" s="171"/>
      <c r="L75" s="172"/>
      <c r="M75" s="166"/>
      <c r="N75" s="170"/>
      <c r="O75" s="171"/>
      <c r="P75" s="172"/>
    </row>
    <row r="76" spans="1:16" x14ac:dyDescent="0.25">
      <c r="A76" s="166"/>
      <c r="B76" s="170"/>
      <c r="C76" s="171"/>
      <c r="D76" s="172"/>
      <c r="E76" s="166"/>
      <c r="F76" s="170"/>
      <c r="G76" s="171"/>
      <c r="H76" s="172"/>
      <c r="I76" s="166"/>
      <c r="J76" s="170"/>
      <c r="K76" s="171"/>
      <c r="L76" s="172"/>
      <c r="M76" s="166"/>
      <c r="N76" s="170"/>
      <c r="O76" s="171"/>
      <c r="P76" s="172"/>
    </row>
    <row r="77" spans="1:16" x14ac:dyDescent="0.25">
      <c r="A77" s="166"/>
      <c r="B77" s="170"/>
      <c r="C77" s="171"/>
      <c r="D77" s="172"/>
      <c r="E77" s="166"/>
      <c r="F77" s="170"/>
      <c r="G77" s="171"/>
      <c r="H77" s="172"/>
      <c r="I77" s="166"/>
      <c r="J77" s="170"/>
      <c r="K77" s="171"/>
      <c r="L77" s="172"/>
      <c r="M77" s="166"/>
      <c r="N77" s="170"/>
      <c r="O77" s="171"/>
      <c r="P77" s="172"/>
    </row>
    <row r="78" spans="1:16" x14ac:dyDescent="0.25">
      <c r="A78" s="166"/>
      <c r="B78" s="170"/>
      <c r="C78" s="171"/>
      <c r="D78" s="172"/>
      <c r="E78" s="166"/>
      <c r="F78" s="170"/>
      <c r="G78" s="171"/>
      <c r="H78" s="172"/>
      <c r="I78" s="166"/>
      <c r="J78" s="170"/>
      <c r="K78" s="171"/>
      <c r="L78" s="172"/>
      <c r="M78" s="166"/>
      <c r="N78" s="170"/>
      <c r="O78" s="171"/>
      <c r="P78" s="172"/>
    </row>
    <row r="79" spans="1:16" x14ac:dyDescent="0.25">
      <c r="A79" s="166"/>
      <c r="B79" s="170"/>
      <c r="C79" s="171"/>
      <c r="D79" s="172"/>
      <c r="E79" s="166"/>
      <c r="F79" s="170"/>
      <c r="G79" s="171"/>
      <c r="H79" s="172"/>
      <c r="I79" s="166"/>
      <c r="J79" s="170"/>
      <c r="K79" s="171"/>
      <c r="L79" s="172"/>
      <c r="M79" s="166"/>
      <c r="N79" s="170"/>
      <c r="O79" s="171"/>
      <c r="P79" s="172"/>
    </row>
    <row r="80" spans="1:16" x14ac:dyDescent="0.25">
      <c r="A80" s="166"/>
      <c r="B80" s="170"/>
      <c r="C80" s="171"/>
      <c r="D80" s="172"/>
      <c r="E80" s="166"/>
      <c r="F80" s="170"/>
      <c r="G80" s="171"/>
      <c r="H80" s="172"/>
      <c r="I80" s="166"/>
      <c r="J80" s="170"/>
      <c r="K80" s="171"/>
      <c r="L80" s="172"/>
      <c r="M80" s="166"/>
      <c r="N80" s="170"/>
      <c r="O80" s="171"/>
      <c r="P80" s="172"/>
    </row>
    <row r="81" spans="1:16" x14ac:dyDescent="0.25">
      <c r="A81" s="166"/>
      <c r="B81" s="170"/>
      <c r="C81" s="171"/>
      <c r="D81" s="172"/>
      <c r="E81" s="166"/>
      <c r="F81" s="170"/>
      <c r="G81" s="171"/>
      <c r="H81" s="172"/>
      <c r="I81" s="166"/>
      <c r="J81" s="170"/>
      <c r="K81" s="171"/>
      <c r="L81" s="172"/>
      <c r="M81" s="166"/>
      <c r="N81" s="170"/>
      <c r="O81" s="171"/>
      <c r="P81" s="172"/>
    </row>
    <row r="82" spans="1:16" x14ac:dyDescent="0.25">
      <c r="A82" s="166"/>
      <c r="B82" s="173"/>
      <c r="C82" s="174"/>
      <c r="D82" s="175"/>
      <c r="E82" s="166"/>
      <c r="F82" s="173"/>
      <c r="G82" s="174"/>
      <c r="H82" s="175"/>
      <c r="I82" s="166"/>
      <c r="J82" s="173"/>
      <c r="K82" s="174"/>
      <c r="L82" s="175"/>
      <c r="M82" s="166"/>
      <c r="N82" s="173"/>
      <c r="O82" s="174"/>
      <c r="P82" s="175"/>
    </row>
    <row r="83" spans="1:16" x14ac:dyDescent="0.25">
      <c r="A83" s="166"/>
      <c r="B83" s="176" t="s">
        <v>21</v>
      </c>
      <c r="C83" s="176"/>
      <c r="D83" s="176"/>
      <c r="E83" s="166"/>
      <c r="F83" s="176" t="s">
        <v>41</v>
      </c>
      <c r="G83" s="176"/>
      <c r="H83" s="176"/>
      <c r="I83" s="166"/>
      <c r="J83" s="176" t="s">
        <v>42</v>
      </c>
      <c r="K83" s="176"/>
      <c r="L83" s="176"/>
      <c r="M83" s="166"/>
      <c r="N83" s="176" t="s">
        <v>43</v>
      </c>
      <c r="O83" s="176"/>
      <c r="P83" s="176"/>
    </row>
    <row r="84" spans="1:16" x14ac:dyDescent="0.25">
      <c r="A84" s="166"/>
      <c r="B84" s="176"/>
      <c r="C84" s="176"/>
      <c r="D84" s="176"/>
      <c r="E84" s="166"/>
      <c r="F84" s="176"/>
      <c r="G84" s="176"/>
      <c r="H84" s="176"/>
      <c r="I84" s="166"/>
      <c r="J84" s="176"/>
      <c r="K84" s="176"/>
      <c r="L84" s="176"/>
      <c r="M84" s="166"/>
      <c r="N84" s="176"/>
      <c r="O84" s="176"/>
      <c r="P84" s="176"/>
    </row>
    <row r="85" spans="1:16" x14ac:dyDescent="0.25">
      <c r="A85" s="166">
        <v>7</v>
      </c>
      <c r="B85" s="167"/>
      <c r="C85" s="168"/>
      <c r="D85" s="169"/>
      <c r="E85" s="166">
        <v>8</v>
      </c>
      <c r="F85" s="167"/>
      <c r="G85" s="168"/>
      <c r="H85" s="169"/>
      <c r="I85" s="166">
        <v>9</v>
      </c>
      <c r="J85" s="167"/>
      <c r="K85" s="168"/>
      <c r="L85" s="169"/>
      <c r="M85" s="166">
        <v>10</v>
      </c>
      <c r="N85" s="167"/>
      <c r="O85" s="168"/>
      <c r="P85" s="169"/>
    </row>
    <row r="86" spans="1:16" x14ac:dyDescent="0.25">
      <c r="A86" s="166"/>
      <c r="B86" s="170"/>
      <c r="C86" s="171"/>
      <c r="D86" s="172"/>
      <c r="E86" s="166"/>
      <c r="F86" s="170"/>
      <c r="G86" s="171"/>
      <c r="H86" s="172"/>
      <c r="I86" s="166"/>
      <c r="J86" s="170"/>
      <c r="K86" s="171"/>
      <c r="L86" s="172"/>
      <c r="M86" s="166"/>
      <c r="N86" s="170"/>
      <c r="O86" s="171"/>
      <c r="P86" s="172"/>
    </row>
    <row r="87" spans="1:16" x14ac:dyDescent="0.25">
      <c r="A87" s="166"/>
      <c r="B87" s="170"/>
      <c r="C87" s="171"/>
      <c r="D87" s="172"/>
      <c r="E87" s="166"/>
      <c r="F87" s="170"/>
      <c r="G87" s="171"/>
      <c r="H87" s="172"/>
      <c r="I87" s="166"/>
      <c r="J87" s="170"/>
      <c r="K87" s="171"/>
      <c r="L87" s="172"/>
      <c r="M87" s="166"/>
      <c r="N87" s="170"/>
      <c r="O87" s="171"/>
      <c r="P87" s="172"/>
    </row>
    <row r="88" spans="1:16" x14ac:dyDescent="0.25">
      <c r="A88" s="166"/>
      <c r="B88" s="170"/>
      <c r="C88" s="171"/>
      <c r="D88" s="172"/>
      <c r="E88" s="166"/>
      <c r="F88" s="170"/>
      <c r="G88" s="171"/>
      <c r="H88" s="172"/>
      <c r="I88" s="166"/>
      <c r="J88" s="170"/>
      <c r="K88" s="171"/>
      <c r="L88" s="172"/>
      <c r="M88" s="166"/>
      <c r="N88" s="170"/>
      <c r="O88" s="171"/>
      <c r="P88" s="172"/>
    </row>
    <row r="89" spans="1:16" x14ac:dyDescent="0.25">
      <c r="A89" s="166"/>
      <c r="B89" s="170"/>
      <c r="C89" s="171"/>
      <c r="D89" s="172"/>
      <c r="E89" s="166"/>
      <c r="F89" s="170"/>
      <c r="G89" s="171"/>
      <c r="H89" s="172"/>
      <c r="I89" s="166"/>
      <c r="J89" s="170"/>
      <c r="K89" s="171"/>
      <c r="L89" s="172"/>
      <c r="M89" s="166"/>
      <c r="N89" s="170"/>
      <c r="O89" s="171"/>
      <c r="P89" s="172"/>
    </row>
    <row r="90" spans="1:16" x14ac:dyDescent="0.25">
      <c r="A90" s="166"/>
      <c r="B90" s="170"/>
      <c r="C90" s="171"/>
      <c r="D90" s="172"/>
      <c r="E90" s="166"/>
      <c r="F90" s="170"/>
      <c r="G90" s="171"/>
      <c r="H90" s="172"/>
      <c r="I90" s="166"/>
      <c r="J90" s="170"/>
      <c r="K90" s="171"/>
      <c r="L90" s="172"/>
      <c r="M90" s="166"/>
      <c r="N90" s="170"/>
      <c r="O90" s="171"/>
      <c r="P90" s="172"/>
    </row>
    <row r="91" spans="1:16" x14ac:dyDescent="0.25">
      <c r="A91" s="166"/>
      <c r="B91" s="170"/>
      <c r="C91" s="171"/>
      <c r="D91" s="172"/>
      <c r="E91" s="166"/>
      <c r="F91" s="170"/>
      <c r="G91" s="171"/>
      <c r="H91" s="172"/>
      <c r="I91" s="166"/>
      <c r="J91" s="170"/>
      <c r="K91" s="171"/>
      <c r="L91" s="172"/>
      <c r="M91" s="166"/>
      <c r="N91" s="170"/>
      <c r="O91" s="171"/>
      <c r="P91" s="172"/>
    </row>
    <row r="92" spans="1:16" x14ac:dyDescent="0.25">
      <c r="A92" s="166"/>
      <c r="B92" s="170"/>
      <c r="C92" s="171"/>
      <c r="D92" s="172"/>
      <c r="E92" s="166"/>
      <c r="F92" s="170"/>
      <c r="G92" s="171"/>
      <c r="H92" s="172"/>
      <c r="I92" s="166"/>
      <c r="J92" s="170"/>
      <c r="K92" s="171"/>
      <c r="L92" s="172"/>
      <c r="M92" s="166"/>
      <c r="N92" s="170"/>
      <c r="O92" s="171"/>
      <c r="P92" s="172"/>
    </row>
    <row r="93" spans="1:16" x14ac:dyDescent="0.25">
      <c r="A93" s="166"/>
      <c r="B93" s="170"/>
      <c r="C93" s="171"/>
      <c r="D93" s="172"/>
      <c r="E93" s="166"/>
      <c r="F93" s="170"/>
      <c r="G93" s="171"/>
      <c r="H93" s="172"/>
      <c r="I93" s="166"/>
      <c r="J93" s="170"/>
      <c r="K93" s="171"/>
      <c r="L93" s="172"/>
      <c r="M93" s="166"/>
      <c r="N93" s="170"/>
      <c r="O93" s="171"/>
      <c r="P93" s="172"/>
    </row>
    <row r="94" spans="1:16" x14ac:dyDescent="0.25">
      <c r="A94" s="166"/>
      <c r="B94" s="170"/>
      <c r="C94" s="171"/>
      <c r="D94" s="172"/>
      <c r="E94" s="166"/>
      <c r="F94" s="170"/>
      <c r="G94" s="171"/>
      <c r="H94" s="172"/>
      <c r="I94" s="166"/>
      <c r="J94" s="170"/>
      <c r="K94" s="171"/>
      <c r="L94" s="172"/>
      <c r="M94" s="166"/>
      <c r="N94" s="170"/>
      <c r="O94" s="171"/>
      <c r="P94" s="172"/>
    </row>
    <row r="95" spans="1:16" x14ac:dyDescent="0.25">
      <c r="A95" s="166"/>
      <c r="B95" s="170"/>
      <c r="C95" s="171"/>
      <c r="D95" s="172"/>
      <c r="E95" s="166"/>
      <c r="F95" s="170"/>
      <c r="G95" s="171"/>
      <c r="H95" s="172"/>
      <c r="I95" s="166"/>
      <c r="J95" s="170"/>
      <c r="K95" s="171"/>
      <c r="L95" s="172"/>
      <c r="M95" s="166"/>
      <c r="N95" s="170"/>
      <c r="O95" s="171"/>
      <c r="P95" s="172"/>
    </row>
    <row r="96" spans="1:16" x14ac:dyDescent="0.25">
      <c r="A96" s="166"/>
      <c r="B96" s="173"/>
      <c r="C96" s="174"/>
      <c r="D96" s="175"/>
      <c r="E96" s="166"/>
      <c r="F96" s="173"/>
      <c r="G96" s="174"/>
      <c r="H96" s="175"/>
      <c r="I96" s="166"/>
      <c r="J96" s="173"/>
      <c r="K96" s="174"/>
      <c r="L96" s="175"/>
      <c r="M96" s="166"/>
      <c r="N96" s="173"/>
      <c r="O96" s="174"/>
      <c r="P96" s="175"/>
    </row>
    <row r="97" spans="1:16" x14ac:dyDescent="0.25">
      <c r="A97" s="166"/>
      <c r="B97" s="176" t="s">
        <v>40</v>
      </c>
      <c r="C97" s="176"/>
      <c r="D97" s="176"/>
      <c r="E97" s="166"/>
      <c r="F97" s="176" t="s">
        <v>45</v>
      </c>
      <c r="G97" s="176"/>
      <c r="H97" s="176"/>
      <c r="I97" s="166"/>
      <c r="J97" s="176" t="s">
        <v>44</v>
      </c>
      <c r="K97" s="176"/>
      <c r="L97" s="176"/>
      <c r="M97" s="166"/>
      <c r="N97" s="176" t="s">
        <v>46</v>
      </c>
      <c r="O97" s="176"/>
      <c r="P97" s="176"/>
    </row>
    <row r="98" spans="1:16" x14ac:dyDescent="0.25">
      <c r="A98" s="166"/>
      <c r="B98" s="176"/>
      <c r="C98" s="176"/>
      <c r="D98" s="176"/>
      <c r="E98" s="166"/>
      <c r="F98" s="176"/>
      <c r="G98" s="176"/>
      <c r="H98" s="176"/>
      <c r="I98" s="166"/>
      <c r="J98" s="176"/>
      <c r="K98" s="176"/>
      <c r="L98" s="176"/>
      <c r="M98" s="166"/>
      <c r="N98" s="176"/>
      <c r="O98" s="176"/>
      <c r="P98" s="176"/>
    </row>
    <row r="99" spans="1:16" x14ac:dyDescent="0.25">
      <c r="A99" s="166">
        <v>8</v>
      </c>
      <c r="B99" s="167"/>
      <c r="C99" s="168"/>
      <c r="D99" s="169"/>
      <c r="E99" s="166">
        <v>9</v>
      </c>
      <c r="F99" s="167"/>
      <c r="G99" s="168"/>
      <c r="H99" s="169"/>
      <c r="I99" s="166">
        <v>10</v>
      </c>
      <c r="J99" s="167"/>
      <c r="K99" s="168"/>
      <c r="L99" s="169"/>
      <c r="M99" s="166">
        <v>11</v>
      </c>
      <c r="N99" s="167"/>
      <c r="O99" s="168"/>
      <c r="P99" s="169"/>
    </row>
    <row r="100" spans="1:16" x14ac:dyDescent="0.25">
      <c r="A100" s="166"/>
      <c r="B100" s="170"/>
      <c r="C100" s="171"/>
      <c r="D100" s="172"/>
      <c r="E100" s="166"/>
      <c r="F100" s="170"/>
      <c r="G100" s="171"/>
      <c r="H100" s="172"/>
      <c r="I100" s="166"/>
      <c r="J100" s="170"/>
      <c r="K100" s="171"/>
      <c r="L100" s="172"/>
      <c r="M100" s="166"/>
      <c r="N100" s="170"/>
      <c r="O100" s="171"/>
      <c r="P100" s="172"/>
    </row>
    <row r="101" spans="1:16" x14ac:dyDescent="0.25">
      <c r="A101" s="166"/>
      <c r="B101" s="170"/>
      <c r="C101" s="171"/>
      <c r="D101" s="172"/>
      <c r="E101" s="166"/>
      <c r="F101" s="170"/>
      <c r="G101" s="171"/>
      <c r="H101" s="172"/>
      <c r="I101" s="166"/>
      <c r="J101" s="170"/>
      <c r="K101" s="171"/>
      <c r="L101" s="172"/>
      <c r="M101" s="166"/>
      <c r="N101" s="170"/>
      <c r="O101" s="171"/>
      <c r="P101" s="172"/>
    </row>
    <row r="102" spans="1:16" x14ac:dyDescent="0.25">
      <c r="A102" s="166"/>
      <c r="B102" s="170"/>
      <c r="C102" s="171"/>
      <c r="D102" s="172"/>
      <c r="E102" s="166"/>
      <c r="F102" s="170"/>
      <c r="G102" s="171"/>
      <c r="H102" s="172"/>
      <c r="I102" s="166"/>
      <c r="J102" s="170"/>
      <c r="K102" s="171"/>
      <c r="L102" s="172"/>
      <c r="M102" s="166"/>
      <c r="N102" s="170"/>
      <c r="O102" s="171"/>
      <c r="P102" s="172"/>
    </row>
    <row r="103" spans="1:16" x14ac:dyDescent="0.25">
      <c r="A103" s="166"/>
      <c r="B103" s="170"/>
      <c r="C103" s="171"/>
      <c r="D103" s="172"/>
      <c r="E103" s="166"/>
      <c r="F103" s="170"/>
      <c r="G103" s="171"/>
      <c r="H103" s="172"/>
      <c r="I103" s="166"/>
      <c r="J103" s="170"/>
      <c r="K103" s="171"/>
      <c r="L103" s="172"/>
      <c r="M103" s="166"/>
      <c r="N103" s="170"/>
      <c r="O103" s="171"/>
      <c r="P103" s="172"/>
    </row>
    <row r="104" spans="1:16" x14ac:dyDescent="0.25">
      <c r="A104" s="166"/>
      <c r="B104" s="170"/>
      <c r="C104" s="171"/>
      <c r="D104" s="172"/>
      <c r="E104" s="166"/>
      <c r="F104" s="170"/>
      <c r="G104" s="171"/>
      <c r="H104" s="172"/>
      <c r="I104" s="166"/>
      <c r="J104" s="170"/>
      <c r="K104" s="171"/>
      <c r="L104" s="172"/>
      <c r="M104" s="166"/>
      <c r="N104" s="170"/>
      <c r="O104" s="171"/>
      <c r="P104" s="172"/>
    </row>
    <row r="105" spans="1:16" x14ac:dyDescent="0.25">
      <c r="A105" s="166"/>
      <c r="B105" s="170"/>
      <c r="C105" s="171"/>
      <c r="D105" s="172"/>
      <c r="E105" s="166"/>
      <c r="F105" s="170"/>
      <c r="G105" s="171"/>
      <c r="H105" s="172"/>
      <c r="I105" s="166"/>
      <c r="J105" s="170"/>
      <c r="K105" s="171"/>
      <c r="L105" s="172"/>
      <c r="M105" s="166"/>
      <c r="N105" s="170"/>
      <c r="O105" s="171"/>
      <c r="P105" s="172"/>
    </row>
    <row r="106" spans="1:16" x14ac:dyDescent="0.25">
      <c r="A106" s="166"/>
      <c r="B106" s="170"/>
      <c r="C106" s="171"/>
      <c r="D106" s="172"/>
      <c r="E106" s="166"/>
      <c r="F106" s="170"/>
      <c r="G106" s="171"/>
      <c r="H106" s="172"/>
      <c r="I106" s="166"/>
      <c r="J106" s="170"/>
      <c r="K106" s="171"/>
      <c r="L106" s="172"/>
      <c r="M106" s="166"/>
      <c r="N106" s="170"/>
      <c r="O106" s="171"/>
      <c r="P106" s="172"/>
    </row>
    <row r="107" spans="1:16" x14ac:dyDescent="0.25">
      <c r="A107" s="166"/>
      <c r="B107" s="170"/>
      <c r="C107" s="171"/>
      <c r="D107" s="172"/>
      <c r="E107" s="166"/>
      <c r="F107" s="170"/>
      <c r="G107" s="171"/>
      <c r="H107" s="172"/>
      <c r="I107" s="166"/>
      <c r="J107" s="170"/>
      <c r="K107" s="171"/>
      <c r="L107" s="172"/>
      <c r="M107" s="166"/>
      <c r="N107" s="170"/>
      <c r="O107" s="171"/>
      <c r="P107" s="172"/>
    </row>
    <row r="108" spans="1:16" x14ac:dyDescent="0.25">
      <c r="A108" s="166"/>
      <c r="B108" s="170"/>
      <c r="C108" s="171"/>
      <c r="D108" s="172"/>
      <c r="E108" s="166"/>
      <c r="F108" s="170"/>
      <c r="G108" s="171"/>
      <c r="H108" s="172"/>
      <c r="I108" s="166"/>
      <c r="J108" s="170"/>
      <c r="K108" s="171"/>
      <c r="L108" s="172"/>
      <c r="M108" s="166"/>
      <c r="N108" s="170"/>
      <c r="O108" s="171"/>
      <c r="P108" s="172"/>
    </row>
    <row r="109" spans="1:16" x14ac:dyDescent="0.25">
      <c r="A109" s="166"/>
      <c r="B109" s="170"/>
      <c r="C109" s="171"/>
      <c r="D109" s="172"/>
      <c r="E109" s="166"/>
      <c r="F109" s="170"/>
      <c r="G109" s="171"/>
      <c r="H109" s="172"/>
      <c r="I109" s="166"/>
      <c r="J109" s="170"/>
      <c r="K109" s="171"/>
      <c r="L109" s="172"/>
      <c r="M109" s="166"/>
      <c r="N109" s="170"/>
      <c r="O109" s="171"/>
      <c r="P109" s="172"/>
    </row>
    <row r="110" spans="1:16" x14ac:dyDescent="0.25">
      <c r="A110" s="166"/>
      <c r="B110" s="173"/>
      <c r="C110" s="174"/>
      <c r="D110" s="175"/>
      <c r="E110" s="166"/>
      <c r="F110" s="173"/>
      <c r="G110" s="174"/>
      <c r="H110" s="175"/>
      <c r="I110" s="166"/>
      <c r="J110" s="173"/>
      <c r="K110" s="174"/>
      <c r="L110" s="175"/>
      <c r="M110" s="166"/>
      <c r="N110" s="173"/>
      <c r="O110" s="174"/>
      <c r="P110" s="175"/>
    </row>
    <row r="111" spans="1:16" x14ac:dyDescent="0.25">
      <c r="A111" s="166"/>
      <c r="B111" s="176"/>
      <c r="C111" s="176"/>
      <c r="D111" s="176"/>
      <c r="E111" s="166"/>
      <c r="F111" s="176"/>
      <c r="G111" s="176"/>
      <c r="H111" s="176"/>
      <c r="I111" s="166"/>
      <c r="J111" s="176"/>
      <c r="K111" s="176"/>
      <c r="L111" s="176"/>
      <c r="M111" s="166"/>
      <c r="N111" s="176"/>
      <c r="O111" s="176"/>
      <c r="P111" s="176"/>
    </row>
    <row r="112" spans="1:16" x14ac:dyDescent="0.25">
      <c r="A112" s="166"/>
      <c r="B112" s="176"/>
      <c r="C112" s="176"/>
      <c r="D112" s="176"/>
      <c r="E112" s="166"/>
      <c r="F112" s="176"/>
      <c r="G112" s="176"/>
      <c r="H112" s="176"/>
      <c r="I112" s="166"/>
      <c r="J112" s="176"/>
      <c r="K112" s="176"/>
      <c r="L112" s="176"/>
      <c r="M112" s="166"/>
      <c r="N112" s="176"/>
      <c r="O112" s="176"/>
      <c r="P112" s="176"/>
    </row>
    <row r="113" spans="1:16" x14ac:dyDescent="0.25">
      <c r="A113" s="166">
        <v>9</v>
      </c>
      <c r="B113" s="167"/>
      <c r="C113" s="168"/>
      <c r="D113" s="169"/>
      <c r="E113" s="166">
        <v>10</v>
      </c>
      <c r="F113" s="167"/>
      <c r="G113" s="168"/>
      <c r="H113" s="169"/>
      <c r="I113" s="166">
        <v>11</v>
      </c>
      <c r="J113" s="167"/>
      <c r="K113" s="168"/>
      <c r="L113" s="169"/>
      <c r="M113" s="166">
        <v>12</v>
      </c>
      <c r="N113" s="167"/>
      <c r="O113" s="168"/>
      <c r="P113" s="169"/>
    </row>
    <row r="114" spans="1:16" x14ac:dyDescent="0.25">
      <c r="A114" s="166"/>
      <c r="B114" s="170"/>
      <c r="C114" s="171"/>
      <c r="D114" s="172"/>
      <c r="E114" s="166"/>
      <c r="F114" s="170"/>
      <c r="G114" s="171"/>
      <c r="H114" s="172"/>
      <c r="I114" s="166"/>
      <c r="J114" s="170"/>
      <c r="K114" s="171"/>
      <c r="L114" s="172"/>
      <c r="M114" s="166"/>
      <c r="N114" s="170"/>
      <c r="O114" s="171"/>
      <c r="P114" s="172"/>
    </row>
    <row r="115" spans="1:16" x14ac:dyDescent="0.25">
      <c r="A115" s="166"/>
      <c r="B115" s="170"/>
      <c r="C115" s="171"/>
      <c r="D115" s="172"/>
      <c r="E115" s="166"/>
      <c r="F115" s="170"/>
      <c r="G115" s="171"/>
      <c r="H115" s="172"/>
      <c r="I115" s="166"/>
      <c r="J115" s="170"/>
      <c r="K115" s="171"/>
      <c r="L115" s="172"/>
      <c r="M115" s="166"/>
      <c r="N115" s="170"/>
      <c r="O115" s="171"/>
      <c r="P115" s="172"/>
    </row>
    <row r="116" spans="1:16" x14ac:dyDescent="0.25">
      <c r="A116" s="166"/>
      <c r="B116" s="170"/>
      <c r="C116" s="171"/>
      <c r="D116" s="172"/>
      <c r="E116" s="166"/>
      <c r="F116" s="170"/>
      <c r="G116" s="171"/>
      <c r="H116" s="172"/>
      <c r="I116" s="166"/>
      <c r="J116" s="170"/>
      <c r="K116" s="171"/>
      <c r="L116" s="172"/>
      <c r="M116" s="166"/>
      <c r="N116" s="170"/>
      <c r="O116" s="171"/>
      <c r="P116" s="172"/>
    </row>
    <row r="117" spans="1:16" x14ac:dyDescent="0.25">
      <c r="A117" s="166"/>
      <c r="B117" s="170"/>
      <c r="C117" s="171"/>
      <c r="D117" s="172"/>
      <c r="E117" s="166"/>
      <c r="F117" s="170"/>
      <c r="G117" s="171"/>
      <c r="H117" s="172"/>
      <c r="I117" s="166"/>
      <c r="J117" s="170"/>
      <c r="K117" s="171"/>
      <c r="L117" s="172"/>
      <c r="M117" s="166"/>
      <c r="N117" s="170"/>
      <c r="O117" s="171"/>
      <c r="P117" s="172"/>
    </row>
    <row r="118" spans="1:16" x14ac:dyDescent="0.25">
      <c r="A118" s="166"/>
      <c r="B118" s="170"/>
      <c r="C118" s="171"/>
      <c r="D118" s="172"/>
      <c r="E118" s="166"/>
      <c r="F118" s="170"/>
      <c r="G118" s="171"/>
      <c r="H118" s="172"/>
      <c r="I118" s="166"/>
      <c r="J118" s="170"/>
      <c r="K118" s="171"/>
      <c r="L118" s="172"/>
      <c r="M118" s="166"/>
      <c r="N118" s="170"/>
      <c r="O118" s="171"/>
      <c r="P118" s="172"/>
    </row>
    <row r="119" spans="1:16" x14ac:dyDescent="0.25">
      <c r="A119" s="166"/>
      <c r="B119" s="170"/>
      <c r="C119" s="171"/>
      <c r="D119" s="172"/>
      <c r="E119" s="166"/>
      <c r="F119" s="170"/>
      <c r="G119" s="171"/>
      <c r="H119" s="172"/>
      <c r="I119" s="166"/>
      <c r="J119" s="170"/>
      <c r="K119" s="171"/>
      <c r="L119" s="172"/>
      <c r="M119" s="166"/>
      <c r="N119" s="170"/>
      <c r="O119" s="171"/>
      <c r="P119" s="172"/>
    </row>
    <row r="120" spans="1:16" x14ac:dyDescent="0.25">
      <c r="A120" s="166"/>
      <c r="B120" s="170"/>
      <c r="C120" s="171"/>
      <c r="D120" s="172"/>
      <c r="E120" s="166"/>
      <c r="F120" s="170"/>
      <c r="G120" s="171"/>
      <c r="H120" s="172"/>
      <c r="I120" s="166"/>
      <c r="J120" s="170"/>
      <c r="K120" s="171"/>
      <c r="L120" s="172"/>
      <c r="M120" s="166"/>
      <c r="N120" s="170"/>
      <c r="O120" s="171"/>
      <c r="P120" s="172"/>
    </row>
    <row r="121" spans="1:16" x14ac:dyDescent="0.25">
      <c r="A121" s="166"/>
      <c r="B121" s="170"/>
      <c r="C121" s="171"/>
      <c r="D121" s="172"/>
      <c r="E121" s="166"/>
      <c r="F121" s="170"/>
      <c r="G121" s="171"/>
      <c r="H121" s="172"/>
      <c r="I121" s="166"/>
      <c r="J121" s="170"/>
      <c r="K121" s="171"/>
      <c r="L121" s="172"/>
      <c r="M121" s="166"/>
      <c r="N121" s="170"/>
      <c r="O121" s="171"/>
      <c r="P121" s="172"/>
    </row>
    <row r="122" spans="1:16" x14ac:dyDescent="0.25">
      <c r="A122" s="166"/>
      <c r="B122" s="170"/>
      <c r="C122" s="171"/>
      <c r="D122" s="172"/>
      <c r="E122" s="166"/>
      <c r="F122" s="170"/>
      <c r="G122" s="171"/>
      <c r="H122" s="172"/>
      <c r="I122" s="166"/>
      <c r="J122" s="170"/>
      <c r="K122" s="171"/>
      <c r="L122" s="172"/>
      <c r="M122" s="166"/>
      <c r="N122" s="170"/>
      <c r="O122" s="171"/>
      <c r="P122" s="172"/>
    </row>
    <row r="123" spans="1:16" x14ac:dyDescent="0.25">
      <c r="A123" s="166"/>
      <c r="B123" s="170"/>
      <c r="C123" s="171"/>
      <c r="D123" s="172"/>
      <c r="E123" s="166"/>
      <c r="F123" s="170"/>
      <c r="G123" s="171"/>
      <c r="H123" s="172"/>
      <c r="I123" s="166"/>
      <c r="J123" s="170"/>
      <c r="K123" s="171"/>
      <c r="L123" s="172"/>
      <c r="M123" s="166"/>
      <c r="N123" s="170"/>
      <c r="O123" s="171"/>
      <c r="P123" s="172"/>
    </row>
    <row r="124" spans="1:16" x14ac:dyDescent="0.25">
      <c r="A124" s="166"/>
      <c r="B124" s="173"/>
      <c r="C124" s="174"/>
      <c r="D124" s="175"/>
      <c r="E124" s="166"/>
      <c r="F124" s="173"/>
      <c r="G124" s="174"/>
      <c r="H124" s="175"/>
      <c r="I124" s="166"/>
      <c r="J124" s="173"/>
      <c r="K124" s="174"/>
      <c r="L124" s="175"/>
      <c r="M124" s="166"/>
      <c r="N124" s="173"/>
      <c r="O124" s="174"/>
      <c r="P124" s="175"/>
    </row>
    <row r="125" spans="1:16" x14ac:dyDescent="0.25">
      <c r="A125" s="166"/>
      <c r="B125" s="176"/>
      <c r="C125" s="176"/>
      <c r="D125" s="176"/>
      <c r="E125" s="166"/>
      <c r="F125" s="176"/>
      <c r="G125" s="176"/>
      <c r="H125" s="176"/>
      <c r="I125" s="166"/>
      <c r="J125" s="176"/>
      <c r="K125" s="176"/>
      <c r="L125" s="176"/>
      <c r="M125" s="166"/>
      <c r="N125" s="176"/>
      <c r="O125" s="176"/>
      <c r="P125" s="176"/>
    </row>
    <row r="126" spans="1:16" x14ac:dyDescent="0.25">
      <c r="A126" s="166"/>
      <c r="B126" s="176"/>
      <c r="C126" s="176"/>
      <c r="D126" s="176"/>
      <c r="E126" s="166"/>
      <c r="F126" s="176"/>
      <c r="G126" s="176"/>
      <c r="H126" s="176"/>
      <c r="I126" s="166"/>
      <c r="J126" s="176"/>
      <c r="K126" s="176"/>
      <c r="L126" s="176"/>
      <c r="M126" s="166"/>
      <c r="N126" s="176"/>
      <c r="O126" s="176"/>
      <c r="P126" s="176"/>
    </row>
    <row r="127" spans="1:16" x14ac:dyDescent="0.25">
      <c r="A127" s="166">
        <v>10</v>
      </c>
      <c r="B127" s="167"/>
      <c r="C127" s="168"/>
      <c r="D127" s="169"/>
      <c r="E127" s="166">
        <v>11</v>
      </c>
      <c r="F127" s="167"/>
      <c r="G127" s="168"/>
      <c r="H127" s="169"/>
      <c r="I127" s="166">
        <v>12</v>
      </c>
      <c r="J127" s="167"/>
      <c r="K127" s="168"/>
      <c r="L127" s="169"/>
      <c r="M127" s="166">
        <v>13</v>
      </c>
      <c r="N127" s="167"/>
      <c r="O127" s="168"/>
      <c r="P127" s="169"/>
    </row>
    <row r="128" spans="1:16" x14ac:dyDescent="0.25">
      <c r="A128" s="166"/>
      <c r="B128" s="170"/>
      <c r="C128" s="171"/>
      <c r="D128" s="172"/>
      <c r="E128" s="166"/>
      <c r="F128" s="170"/>
      <c r="G128" s="171"/>
      <c r="H128" s="172"/>
      <c r="I128" s="166"/>
      <c r="J128" s="170"/>
      <c r="K128" s="171"/>
      <c r="L128" s="172"/>
      <c r="M128" s="166"/>
      <c r="N128" s="170"/>
      <c r="O128" s="171"/>
      <c r="P128" s="172"/>
    </row>
    <row r="129" spans="1:16" x14ac:dyDescent="0.25">
      <c r="A129" s="166"/>
      <c r="B129" s="170"/>
      <c r="C129" s="171"/>
      <c r="D129" s="172"/>
      <c r="E129" s="166"/>
      <c r="F129" s="170"/>
      <c r="G129" s="171"/>
      <c r="H129" s="172"/>
      <c r="I129" s="166"/>
      <c r="J129" s="170"/>
      <c r="K129" s="171"/>
      <c r="L129" s="172"/>
      <c r="M129" s="166"/>
      <c r="N129" s="170"/>
      <c r="O129" s="171"/>
      <c r="P129" s="172"/>
    </row>
    <row r="130" spans="1:16" x14ac:dyDescent="0.25">
      <c r="A130" s="166"/>
      <c r="B130" s="170"/>
      <c r="C130" s="171"/>
      <c r="D130" s="172"/>
      <c r="E130" s="166"/>
      <c r="F130" s="170"/>
      <c r="G130" s="171"/>
      <c r="H130" s="172"/>
      <c r="I130" s="166"/>
      <c r="J130" s="170"/>
      <c r="K130" s="171"/>
      <c r="L130" s="172"/>
      <c r="M130" s="166"/>
      <c r="N130" s="170"/>
      <c r="O130" s="171"/>
      <c r="P130" s="172"/>
    </row>
    <row r="131" spans="1:16" x14ac:dyDescent="0.25">
      <c r="A131" s="166"/>
      <c r="B131" s="170"/>
      <c r="C131" s="171"/>
      <c r="D131" s="172"/>
      <c r="E131" s="166"/>
      <c r="F131" s="170"/>
      <c r="G131" s="171"/>
      <c r="H131" s="172"/>
      <c r="I131" s="166"/>
      <c r="J131" s="170"/>
      <c r="K131" s="171"/>
      <c r="L131" s="172"/>
      <c r="M131" s="166"/>
      <c r="N131" s="170"/>
      <c r="O131" s="171"/>
      <c r="P131" s="172"/>
    </row>
    <row r="132" spans="1:16" x14ac:dyDescent="0.25">
      <c r="A132" s="166"/>
      <c r="B132" s="170"/>
      <c r="C132" s="171"/>
      <c r="D132" s="172"/>
      <c r="E132" s="166"/>
      <c r="F132" s="170"/>
      <c r="G132" s="171"/>
      <c r="H132" s="172"/>
      <c r="I132" s="166"/>
      <c r="J132" s="170"/>
      <c r="K132" s="171"/>
      <c r="L132" s="172"/>
      <c r="M132" s="166"/>
      <c r="N132" s="170"/>
      <c r="O132" s="171"/>
      <c r="P132" s="172"/>
    </row>
    <row r="133" spans="1:16" x14ac:dyDescent="0.25">
      <c r="A133" s="166"/>
      <c r="B133" s="170"/>
      <c r="C133" s="171"/>
      <c r="D133" s="172"/>
      <c r="E133" s="166"/>
      <c r="F133" s="170"/>
      <c r="G133" s="171"/>
      <c r="H133" s="172"/>
      <c r="I133" s="166"/>
      <c r="J133" s="170"/>
      <c r="K133" s="171"/>
      <c r="L133" s="172"/>
      <c r="M133" s="166"/>
      <c r="N133" s="170"/>
      <c r="O133" s="171"/>
      <c r="P133" s="172"/>
    </row>
    <row r="134" spans="1:16" x14ac:dyDescent="0.25">
      <c r="A134" s="166"/>
      <c r="B134" s="170"/>
      <c r="C134" s="171"/>
      <c r="D134" s="172"/>
      <c r="E134" s="166"/>
      <c r="F134" s="170"/>
      <c r="G134" s="171"/>
      <c r="H134" s="172"/>
      <c r="I134" s="166"/>
      <c r="J134" s="170"/>
      <c r="K134" s="171"/>
      <c r="L134" s="172"/>
      <c r="M134" s="166"/>
      <c r="N134" s="170"/>
      <c r="O134" s="171"/>
      <c r="P134" s="172"/>
    </row>
    <row r="135" spans="1:16" x14ac:dyDescent="0.25">
      <c r="A135" s="166"/>
      <c r="B135" s="170"/>
      <c r="C135" s="171"/>
      <c r="D135" s="172"/>
      <c r="E135" s="166"/>
      <c r="F135" s="170"/>
      <c r="G135" s="171"/>
      <c r="H135" s="172"/>
      <c r="I135" s="166"/>
      <c r="J135" s="170"/>
      <c r="K135" s="171"/>
      <c r="L135" s="172"/>
      <c r="M135" s="166"/>
      <c r="N135" s="170"/>
      <c r="O135" s="171"/>
      <c r="P135" s="172"/>
    </row>
    <row r="136" spans="1:16" x14ac:dyDescent="0.25">
      <c r="A136" s="166"/>
      <c r="B136" s="170"/>
      <c r="C136" s="171"/>
      <c r="D136" s="172"/>
      <c r="E136" s="166"/>
      <c r="F136" s="170"/>
      <c r="G136" s="171"/>
      <c r="H136" s="172"/>
      <c r="I136" s="166"/>
      <c r="J136" s="170"/>
      <c r="K136" s="171"/>
      <c r="L136" s="172"/>
      <c r="M136" s="166"/>
      <c r="N136" s="170"/>
      <c r="O136" s="171"/>
      <c r="P136" s="172"/>
    </row>
    <row r="137" spans="1:16" x14ac:dyDescent="0.25">
      <c r="A137" s="166"/>
      <c r="B137" s="170"/>
      <c r="C137" s="171"/>
      <c r="D137" s="172"/>
      <c r="E137" s="166"/>
      <c r="F137" s="170"/>
      <c r="G137" s="171"/>
      <c r="H137" s="172"/>
      <c r="I137" s="166"/>
      <c r="J137" s="170"/>
      <c r="K137" s="171"/>
      <c r="L137" s="172"/>
      <c r="M137" s="166"/>
      <c r="N137" s="170"/>
      <c r="O137" s="171"/>
      <c r="P137" s="172"/>
    </row>
    <row r="138" spans="1:16" x14ac:dyDescent="0.25">
      <c r="A138" s="166"/>
      <c r="B138" s="173"/>
      <c r="C138" s="174"/>
      <c r="D138" s="175"/>
      <c r="E138" s="166"/>
      <c r="F138" s="173"/>
      <c r="G138" s="174"/>
      <c r="H138" s="175"/>
      <c r="I138" s="166"/>
      <c r="J138" s="173"/>
      <c r="K138" s="174"/>
      <c r="L138" s="175"/>
      <c r="M138" s="166"/>
      <c r="N138" s="173"/>
      <c r="O138" s="174"/>
      <c r="P138" s="175"/>
    </row>
    <row r="139" spans="1:16" x14ac:dyDescent="0.25">
      <c r="A139" s="166"/>
      <c r="B139" s="176"/>
      <c r="C139" s="176"/>
      <c r="D139" s="176"/>
      <c r="E139" s="166"/>
      <c r="F139" s="176"/>
      <c r="G139" s="176"/>
      <c r="H139" s="176"/>
      <c r="I139" s="166"/>
      <c r="J139" s="176"/>
      <c r="K139" s="176"/>
      <c r="L139" s="176"/>
      <c r="M139" s="166"/>
      <c r="N139" s="176"/>
      <c r="O139" s="176"/>
      <c r="P139" s="176"/>
    </row>
    <row r="140" spans="1:16" x14ac:dyDescent="0.25">
      <c r="A140" s="166"/>
      <c r="B140" s="176"/>
      <c r="C140" s="176"/>
      <c r="D140" s="176"/>
      <c r="E140" s="166"/>
      <c r="F140" s="176"/>
      <c r="G140" s="176"/>
      <c r="H140" s="176"/>
      <c r="I140" s="166"/>
      <c r="J140" s="176"/>
      <c r="K140" s="176"/>
      <c r="L140" s="176"/>
      <c r="M140" s="166"/>
      <c r="N140" s="176"/>
      <c r="O140" s="176"/>
      <c r="P140" s="176"/>
    </row>
    <row r="141" spans="1:16" x14ac:dyDescent="0.25">
      <c r="A141" s="166">
        <v>11</v>
      </c>
      <c r="B141" s="167"/>
      <c r="C141" s="168"/>
      <c r="D141" s="169"/>
      <c r="E141" s="166">
        <v>12</v>
      </c>
      <c r="F141" s="167"/>
      <c r="G141" s="168"/>
      <c r="H141" s="169"/>
      <c r="I141" s="166">
        <v>13</v>
      </c>
      <c r="J141" s="167"/>
      <c r="K141" s="168"/>
      <c r="L141" s="169"/>
      <c r="M141" s="166">
        <v>14</v>
      </c>
      <c r="N141" s="167"/>
      <c r="O141" s="168"/>
      <c r="P141" s="169"/>
    </row>
    <row r="142" spans="1:16" x14ac:dyDescent="0.25">
      <c r="A142" s="166"/>
      <c r="B142" s="170"/>
      <c r="C142" s="171"/>
      <c r="D142" s="172"/>
      <c r="E142" s="166"/>
      <c r="F142" s="170"/>
      <c r="G142" s="171"/>
      <c r="H142" s="172"/>
      <c r="I142" s="166"/>
      <c r="J142" s="170"/>
      <c r="K142" s="171"/>
      <c r="L142" s="172"/>
      <c r="M142" s="166"/>
      <c r="N142" s="170"/>
      <c r="O142" s="171"/>
      <c r="P142" s="172"/>
    </row>
    <row r="143" spans="1:16" x14ac:dyDescent="0.25">
      <c r="A143" s="166"/>
      <c r="B143" s="170"/>
      <c r="C143" s="171"/>
      <c r="D143" s="172"/>
      <c r="E143" s="166"/>
      <c r="F143" s="170"/>
      <c r="G143" s="171"/>
      <c r="H143" s="172"/>
      <c r="I143" s="166"/>
      <c r="J143" s="170"/>
      <c r="K143" s="171"/>
      <c r="L143" s="172"/>
      <c r="M143" s="166"/>
      <c r="N143" s="170"/>
      <c r="O143" s="171"/>
      <c r="P143" s="172"/>
    </row>
    <row r="144" spans="1:16" x14ac:dyDescent="0.25">
      <c r="A144" s="166"/>
      <c r="B144" s="170"/>
      <c r="C144" s="171"/>
      <c r="D144" s="172"/>
      <c r="E144" s="166"/>
      <c r="F144" s="170"/>
      <c r="G144" s="171"/>
      <c r="H144" s="172"/>
      <c r="I144" s="166"/>
      <c r="J144" s="170"/>
      <c r="K144" s="171"/>
      <c r="L144" s="172"/>
      <c r="M144" s="166"/>
      <c r="N144" s="170"/>
      <c r="O144" s="171"/>
      <c r="P144" s="172"/>
    </row>
    <row r="145" spans="1:16" x14ac:dyDescent="0.25">
      <c r="A145" s="166"/>
      <c r="B145" s="170"/>
      <c r="C145" s="171"/>
      <c r="D145" s="172"/>
      <c r="E145" s="166"/>
      <c r="F145" s="170"/>
      <c r="G145" s="171"/>
      <c r="H145" s="172"/>
      <c r="I145" s="166"/>
      <c r="J145" s="170"/>
      <c r="K145" s="171"/>
      <c r="L145" s="172"/>
      <c r="M145" s="166"/>
      <c r="N145" s="170"/>
      <c r="O145" s="171"/>
      <c r="P145" s="172"/>
    </row>
    <row r="146" spans="1:16" x14ac:dyDescent="0.25">
      <c r="A146" s="166"/>
      <c r="B146" s="170"/>
      <c r="C146" s="171"/>
      <c r="D146" s="172"/>
      <c r="E146" s="166"/>
      <c r="F146" s="170"/>
      <c r="G146" s="171"/>
      <c r="H146" s="172"/>
      <c r="I146" s="166"/>
      <c r="J146" s="170"/>
      <c r="K146" s="171"/>
      <c r="L146" s="172"/>
      <c r="M146" s="166"/>
      <c r="N146" s="170"/>
      <c r="O146" s="171"/>
      <c r="P146" s="172"/>
    </row>
    <row r="147" spans="1:16" x14ac:dyDescent="0.25">
      <c r="A147" s="166"/>
      <c r="B147" s="170"/>
      <c r="C147" s="171"/>
      <c r="D147" s="172"/>
      <c r="E147" s="166"/>
      <c r="F147" s="170"/>
      <c r="G147" s="171"/>
      <c r="H147" s="172"/>
      <c r="I147" s="166"/>
      <c r="J147" s="170"/>
      <c r="K147" s="171"/>
      <c r="L147" s="172"/>
      <c r="M147" s="166"/>
      <c r="N147" s="170"/>
      <c r="O147" s="171"/>
      <c r="P147" s="172"/>
    </row>
    <row r="148" spans="1:16" x14ac:dyDescent="0.25">
      <c r="A148" s="166"/>
      <c r="B148" s="170"/>
      <c r="C148" s="171"/>
      <c r="D148" s="172"/>
      <c r="E148" s="166"/>
      <c r="F148" s="170"/>
      <c r="G148" s="171"/>
      <c r="H148" s="172"/>
      <c r="I148" s="166"/>
      <c r="J148" s="170"/>
      <c r="K148" s="171"/>
      <c r="L148" s="172"/>
      <c r="M148" s="166"/>
      <c r="N148" s="170"/>
      <c r="O148" s="171"/>
      <c r="P148" s="172"/>
    </row>
    <row r="149" spans="1:16" x14ac:dyDescent="0.25">
      <c r="A149" s="166"/>
      <c r="B149" s="170"/>
      <c r="C149" s="171"/>
      <c r="D149" s="172"/>
      <c r="E149" s="166"/>
      <c r="F149" s="170"/>
      <c r="G149" s="171"/>
      <c r="H149" s="172"/>
      <c r="I149" s="166"/>
      <c r="J149" s="170"/>
      <c r="K149" s="171"/>
      <c r="L149" s="172"/>
      <c r="M149" s="166"/>
      <c r="N149" s="170"/>
      <c r="O149" s="171"/>
      <c r="P149" s="172"/>
    </row>
    <row r="150" spans="1:16" x14ac:dyDescent="0.25">
      <c r="A150" s="166"/>
      <c r="B150" s="170"/>
      <c r="C150" s="171"/>
      <c r="D150" s="172"/>
      <c r="E150" s="166"/>
      <c r="F150" s="170"/>
      <c r="G150" s="171"/>
      <c r="H150" s="172"/>
      <c r="I150" s="166"/>
      <c r="J150" s="170"/>
      <c r="K150" s="171"/>
      <c r="L150" s="172"/>
      <c r="M150" s="166"/>
      <c r="N150" s="170"/>
      <c r="O150" s="171"/>
      <c r="P150" s="172"/>
    </row>
    <row r="151" spans="1:16" x14ac:dyDescent="0.25">
      <c r="A151" s="166"/>
      <c r="B151" s="170"/>
      <c r="C151" s="171"/>
      <c r="D151" s="172"/>
      <c r="E151" s="166"/>
      <c r="F151" s="170"/>
      <c r="G151" s="171"/>
      <c r="H151" s="172"/>
      <c r="I151" s="166"/>
      <c r="J151" s="170"/>
      <c r="K151" s="171"/>
      <c r="L151" s="172"/>
      <c r="M151" s="166"/>
      <c r="N151" s="170"/>
      <c r="O151" s="171"/>
      <c r="P151" s="172"/>
    </row>
    <row r="152" spans="1:16" x14ac:dyDescent="0.25">
      <c r="A152" s="166"/>
      <c r="B152" s="173"/>
      <c r="C152" s="174"/>
      <c r="D152" s="175"/>
      <c r="E152" s="166"/>
      <c r="F152" s="173"/>
      <c r="G152" s="174"/>
      <c r="H152" s="175"/>
      <c r="I152" s="166"/>
      <c r="J152" s="173"/>
      <c r="K152" s="174"/>
      <c r="L152" s="175"/>
      <c r="M152" s="166"/>
      <c r="N152" s="173"/>
      <c r="O152" s="174"/>
      <c r="P152" s="175"/>
    </row>
    <row r="153" spans="1:16" x14ac:dyDescent="0.25">
      <c r="A153" s="166"/>
      <c r="B153" s="176"/>
      <c r="C153" s="176"/>
      <c r="D153" s="176"/>
      <c r="E153" s="166"/>
      <c r="F153" s="176"/>
      <c r="G153" s="176"/>
      <c r="H153" s="176"/>
      <c r="I153" s="166"/>
      <c r="J153" s="176"/>
      <c r="K153" s="176"/>
      <c r="L153" s="176"/>
      <c r="M153" s="166"/>
      <c r="N153" s="176"/>
      <c r="O153" s="176"/>
      <c r="P153" s="176"/>
    </row>
    <row r="154" spans="1:16" x14ac:dyDescent="0.25">
      <c r="A154" s="166"/>
      <c r="B154" s="176"/>
      <c r="C154" s="176"/>
      <c r="D154" s="176"/>
      <c r="E154" s="166"/>
      <c r="F154" s="176"/>
      <c r="G154" s="176"/>
      <c r="H154" s="176"/>
      <c r="I154" s="166"/>
      <c r="J154" s="176"/>
      <c r="K154" s="176"/>
      <c r="L154" s="176"/>
      <c r="M154" s="166"/>
      <c r="N154" s="176"/>
      <c r="O154" s="176"/>
      <c r="P154" s="176"/>
    </row>
  </sheetData>
  <mergeCells count="132">
    <mergeCell ref="N1:P12"/>
    <mergeCell ref="J13:L14"/>
    <mergeCell ref="N13:P14"/>
    <mergeCell ref="A57:A70"/>
    <mergeCell ref="B57:D68"/>
    <mergeCell ref="B69:D70"/>
    <mergeCell ref="E1:E14"/>
    <mergeCell ref="F1:H12"/>
    <mergeCell ref="F13:H14"/>
    <mergeCell ref="E15:E28"/>
    <mergeCell ref="F15:H26"/>
    <mergeCell ref="E29:E42"/>
    <mergeCell ref="F29:H40"/>
    <mergeCell ref="A29:A42"/>
    <mergeCell ref="B29:D40"/>
    <mergeCell ref="B41:D42"/>
    <mergeCell ref="A43:A56"/>
    <mergeCell ref="B43:D54"/>
    <mergeCell ref="B55:D56"/>
    <mergeCell ref="B13:D14"/>
    <mergeCell ref="A1:A14"/>
    <mergeCell ref="B1:D12"/>
    <mergeCell ref="A15:A28"/>
    <mergeCell ref="B15:D26"/>
    <mergeCell ref="B27:D28"/>
    <mergeCell ref="I29:I42"/>
    <mergeCell ref="J29:L40"/>
    <mergeCell ref="M29:M42"/>
    <mergeCell ref="I43:I56"/>
    <mergeCell ref="J43:L54"/>
    <mergeCell ref="M43:M56"/>
    <mergeCell ref="I1:I14"/>
    <mergeCell ref="J1:L12"/>
    <mergeCell ref="M1:M14"/>
    <mergeCell ref="N29:P40"/>
    <mergeCell ref="F41:H42"/>
    <mergeCell ref="J41:L42"/>
    <mergeCell ref="N41:P42"/>
    <mergeCell ref="I15:I28"/>
    <mergeCell ref="J15:L26"/>
    <mergeCell ref="M15:M28"/>
    <mergeCell ref="N15:P26"/>
    <mergeCell ref="F27:H28"/>
    <mergeCell ref="J27:L28"/>
    <mergeCell ref="N27:P28"/>
    <mergeCell ref="N43:P54"/>
    <mergeCell ref="F55:H56"/>
    <mergeCell ref="J55:L56"/>
    <mergeCell ref="N55:P56"/>
    <mergeCell ref="E57:E70"/>
    <mergeCell ref="F57:H68"/>
    <mergeCell ref="I57:I70"/>
    <mergeCell ref="J57:L68"/>
    <mergeCell ref="M57:M70"/>
    <mergeCell ref="N57:P68"/>
    <mergeCell ref="F69:H70"/>
    <mergeCell ref="J69:L70"/>
    <mergeCell ref="N69:P70"/>
    <mergeCell ref="E43:E56"/>
    <mergeCell ref="F43:H54"/>
    <mergeCell ref="A141:A154"/>
    <mergeCell ref="B141:D152"/>
    <mergeCell ref="B153:D154"/>
    <mergeCell ref="A99:A112"/>
    <mergeCell ref="B99:D110"/>
    <mergeCell ref="B111:D112"/>
    <mergeCell ref="A113:A126"/>
    <mergeCell ref="B113:D124"/>
    <mergeCell ref="B125:D126"/>
    <mergeCell ref="E71:E84"/>
    <mergeCell ref="F71:H82"/>
    <mergeCell ref="F83:H84"/>
    <mergeCell ref="E85:E98"/>
    <mergeCell ref="F85:H96"/>
    <mergeCell ref="F97:H98"/>
    <mergeCell ref="A127:A140"/>
    <mergeCell ref="B127:D138"/>
    <mergeCell ref="B139:D140"/>
    <mergeCell ref="A71:A84"/>
    <mergeCell ref="B71:D82"/>
    <mergeCell ref="B83:D84"/>
    <mergeCell ref="A85:A98"/>
    <mergeCell ref="B85:D96"/>
    <mergeCell ref="B97:D98"/>
    <mergeCell ref="E127:E140"/>
    <mergeCell ref="F127:H138"/>
    <mergeCell ref="F139:H140"/>
    <mergeCell ref="E141:E154"/>
    <mergeCell ref="F141:H152"/>
    <mergeCell ref="F153:H154"/>
    <mergeCell ref="E99:E112"/>
    <mergeCell ref="F99:H110"/>
    <mergeCell ref="F111:H112"/>
    <mergeCell ref="E113:E126"/>
    <mergeCell ref="F113:H124"/>
    <mergeCell ref="F125:H126"/>
    <mergeCell ref="I141:I154"/>
    <mergeCell ref="J141:L152"/>
    <mergeCell ref="J153:L154"/>
    <mergeCell ref="I99:I112"/>
    <mergeCell ref="J99:L110"/>
    <mergeCell ref="J111:L112"/>
    <mergeCell ref="I113:I126"/>
    <mergeCell ref="J113:L124"/>
    <mergeCell ref="J125:L126"/>
    <mergeCell ref="M71:M84"/>
    <mergeCell ref="N71:P82"/>
    <mergeCell ref="N83:P84"/>
    <mergeCell ref="M85:M98"/>
    <mergeCell ref="N85:P96"/>
    <mergeCell ref="N97:P98"/>
    <mergeCell ref="I127:I140"/>
    <mergeCell ref="J127:L138"/>
    <mergeCell ref="J139:L140"/>
    <mergeCell ref="I71:I84"/>
    <mergeCell ref="J71:L82"/>
    <mergeCell ref="J83:L84"/>
    <mergeCell ref="I85:I98"/>
    <mergeCell ref="J85:L96"/>
    <mergeCell ref="J97:L98"/>
    <mergeCell ref="M127:M140"/>
    <mergeCell ref="N127:P138"/>
    <mergeCell ref="N139:P140"/>
    <mergeCell ref="M141:M154"/>
    <mergeCell ref="N141:P152"/>
    <mergeCell ref="N153:P154"/>
    <mergeCell ref="M99:M112"/>
    <mergeCell ref="N99:P110"/>
    <mergeCell ref="N111:P112"/>
    <mergeCell ref="M113:M126"/>
    <mergeCell ref="N113:P124"/>
    <mergeCell ref="N125:P126"/>
  </mergeCells>
  <pageMargins left="0.7" right="0.7" top="0.75" bottom="0.75" header="0.3" footer="0.3"/>
  <pageSetup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O29"/>
  <sheetViews>
    <sheetView workbookViewId="0">
      <selection activeCell="E4" sqref="E4:H29"/>
    </sheetView>
  </sheetViews>
  <sheetFormatPr defaultRowHeight="15" x14ac:dyDescent="0.25"/>
  <cols>
    <col min="4" max="4" width="7.42578125" customWidth="1"/>
    <col min="8" max="8" width="7.85546875" customWidth="1"/>
    <col min="12" max="12" width="7.5703125" customWidth="1"/>
    <col min="13" max="13" width="10" customWidth="1"/>
  </cols>
  <sheetData>
    <row r="4" spans="1:15" x14ac:dyDescent="0.25">
      <c r="A4" s="167"/>
      <c r="B4" s="168"/>
      <c r="C4" s="169"/>
      <c r="E4" s="167"/>
      <c r="F4" s="168"/>
      <c r="G4" s="169"/>
      <c r="I4" s="167"/>
      <c r="J4" s="168"/>
      <c r="K4" s="169"/>
      <c r="M4" s="167"/>
      <c r="N4" s="168"/>
      <c r="O4" s="169"/>
    </row>
    <row r="5" spans="1:15" x14ac:dyDescent="0.25">
      <c r="A5" s="170"/>
      <c r="B5" s="171"/>
      <c r="C5" s="172"/>
      <c r="E5" s="170"/>
      <c r="F5" s="171"/>
      <c r="G5" s="172"/>
      <c r="I5" s="170"/>
      <c r="J5" s="171"/>
      <c r="K5" s="172"/>
      <c r="M5" s="170"/>
      <c r="N5" s="171"/>
      <c r="O5" s="172"/>
    </row>
    <row r="6" spans="1:15" x14ac:dyDescent="0.25">
      <c r="A6" s="170"/>
      <c r="B6" s="171"/>
      <c r="C6" s="172"/>
      <c r="E6" s="170"/>
      <c r="F6" s="171"/>
      <c r="G6" s="172"/>
      <c r="I6" s="170"/>
      <c r="J6" s="171"/>
      <c r="K6" s="172"/>
      <c r="M6" s="170"/>
      <c r="N6" s="171"/>
      <c r="O6" s="172"/>
    </row>
    <row r="7" spans="1:15" x14ac:dyDescent="0.25">
      <c r="A7" s="170"/>
      <c r="B7" s="171"/>
      <c r="C7" s="172"/>
      <c r="E7" s="170"/>
      <c r="F7" s="171"/>
      <c r="G7" s="172"/>
      <c r="I7" s="170"/>
      <c r="J7" s="171"/>
      <c r="K7" s="172"/>
      <c r="M7" s="170"/>
      <c r="N7" s="171"/>
      <c r="O7" s="172"/>
    </row>
    <row r="8" spans="1:15" x14ac:dyDescent="0.25">
      <c r="A8" s="170"/>
      <c r="B8" s="171"/>
      <c r="C8" s="172"/>
      <c r="E8" s="170"/>
      <c r="F8" s="171"/>
      <c r="G8" s="172"/>
      <c r="I8" s="170"/>
      <c r="J8" s="171"/>
      <c r="K8" s="172"/>
      <c r="M8" s="170"/>
      <c r="N8" s="171"/>
      <c r="O8" s="172"/>
    </row>
    <row r="9" spans="1:15" x14ac:dyDescent="0.25">
      <c r="A9" s="170"/>
      <c r="B9" s="171"/>
      <c r="C9" s="172"/>
      <c r="E9" s="170"/>
      <c r="F9" s="171"/>
      <c r="G9" s="172"/>
      <c r="I9" s="170"/>
      <c r="J9" s="171"/>
      <c r="K9" s="172"/>
      <c r="M9" s="170"/>
      <c r="N9" s="171"/>
      <c r="O9" s="172"/>
    </row>
    <row r="10" spans="1:15" x14ac:dyDescent="0.25">
      <c r="A10" s="170"/>
      <c r="B10" s="171"/>
      <c r="C10" s="172"/>
      <c r="E10" s="170"/>
      <c r="F10" s="171"/>
      <c r="G10" s="172"/>
      <c r="I10" s="170"/>
      <c r="J10" s="171"/>
      <c r="K10" s="172"/>
      <c r="M10" s="170"/>
      <c r="N10" s="171"/>
      <c r="O10" s="172"/>
    </row>
    <row r="11" spans="1:15" x14ac:dyDescent="0.25">
      <c r="A11" s="170"/>
      <c r="B11" s="171"/>
      <c r="C11" s="172"/>
      <c r="E11" s="170"/>
      <c r="F11" s="171"/>
      <c r="G11" s="172"/>
      <c r="I11" s="170"/>
      <c r="J11" s="171"/>
      <c r="K11" s="172"/>
      <c r="M11" s="170"/>
      <c r="N11" s="171"/>
      <c r="O11" s="172"/>
    </row>
    <row r="12" spans="1:15" x14ac:dyDescent="0.25">
      <c r="A12" s="170"/>
      <c r="B12" s="171"/>
      <c r="C12" s="172"/>
      <c r="E12" s="170"/>
      <c r="F12" s="171"/>
      <c r="G12" s="172"/>
      <c r="I12" s="170"/>
      <c r="J12" s="171"/>
      <c r="K12" s="172"/>
      <c r="M12" s="170"/>
      <c r="N12" s="171"/>
      <c r="O12" s="172"/>
    </row>
    <row r="13" spans="1:15" x14ac:dyDescent="0.25">
      <c r="A13" s="170"/>
      <c r="B13" s="171"/>
      <c r="C13" s="172"/>
      <c r="E13" s="170"/>
      <c r="F13" s="171"/>
      <c r="G13" s="172"/>
      <c r="I13" s="170"/>
      <c r="J13" s="171"/>
      <c r="K13" s="172"/>
      <c r="M13" s="170"/>
      <c r="N13" s="171"/>
      <c r="O13" s="172"/>
    </row>
    <row r="14" spans="1:15" x14ac:dyDescent="0.25">
      <c r="A14" s="170"/>
      <c r="B14" s="171"/>
      <c r="C14" s="172"/>
      <c r="E14" s="170"/>
      <c r="F14" s="171"/>
      <c r="G14" s="172"/>
      <c r="I14" s="170"/>
      <c r="J14" s="171"/>
      <c r="K14" s="172"/>
      <c r="M14" s="170"/>
      <c r="N14" s="171"/>
      <c r="O14" s="172"/>
    </row>
    <row r="15" spans="1:15" x14ac:dyDescent="0.25">
      <c r="A15" s="173"/>
      <c r="B15" s="174"/>
      <c r="C15" s="175"/>
      <c r="E15" s="173"/>
      <c r="F15" s="174"/>
      <c r="G15" s="175"/>
      <c r="I15" s="173"/>
      <c r="J15" s="174"/>
      <c r="K15" s="175"/>
      <c r="M15" s="173"/>
      <c r="N15" s="174"/>
      <c r="O15" s="175"/>
    </row>
    <row r="18" spans="1:15" x14ac:dyDescent="0.25">
      <c r="A18" s="167"/>
      <c r="B18" s="168"/>
      <c r="C18" s="169"/>
      <c r="E18" s="167"/>
      <c r="F18" s="168"/>
      <c r="G18" s="169"/>
      <c r="I18" s="167"/>
      <c r="J18" s="168"/>
      <c r="K18" s="169"/>
      <c r="M18" s="167"/>
      <c r="N18" s="168"/>
      <c r="O18" s="169"/>
    </row>
    <row r="19" spans="1:15" x14ac:dyDescent="0.25">
      <c r="A19" s="170"/>
      <c r="B19" s="171"/>
      <c r="C19" s="172"/>
      <c r="E19" s="170"/>
      <c r="F19" s="171"/>
      <c r="G19" s="172"/>
      <c r="I19" s="170"/>
      <c r="J19" s="171"/>
      <c r="K19" s="172"/>
      <c r="M19" s="170"/>
      <c r="N19" s="171"/>
      <c r="O19" s="172"/>
    </row>
    <row r="20" spans="1:15" x14ac:dyDescent="0.25">
      <c r="A20" s="170"/>
      <c r="B20" s="171"/>
      <c r="C20" s="172"/>
      <c r="E20" s="170"/>
      <c r="F20" s="171"/>
      <c r="G20" s="172"/>
      <c r="I20" s="170"/>
      <c r="J20" s="171"/>
      <c r="K20" s="172"/>
      <c r="M20" s="170"/>
      <c r="N20" s="171"/>
      <c r="O20" s="172"/>
    </row>
    <row r="21" spans="1:15" x14ac:dyDescent="0.25">
      <c r="A21" s="170"/>
      <c r="B21" s="171"/>
      <c r="C21" s="172"/>
      <c r="E21" s="170"/>
      <c r="F21" s="171"/>
      <c r="G21" s="172"/>
      <c r="I21" s="170"/>
      <c r="J21" s="171"/>
      <c r="K21" s="172"/>
      <c r="M21" s="170"/>
      <c r="N21" s="171"/>
      <c r="O21" s="172"/>
    </row>
    <row r="22" spans="1:15" x14ac:dyDescent="0.25">
      <c r="A22" s="170"/>
      <c r="B22" s="171"/>
      <c r="C22" s="172"/>
      <c r="E22" s="170"/>
      <c r="F22" s="171"/>
      <c r="G22" s="172"/>
      <c r="I22" s="170"/>
      <c r="J22" s="171"/>
      <c r="K22" s="172"/>
      <c r="M22" s="170"/>
      <c r="N22" s="171"/>
      <c r="O22" s="172"/>
    </row>
    <row r="23" spans="1:15" x14ac:dyDescent="0.25">
      <c r="A23" s="170"/>
      <c r="B23" s="171"/>
      <c r="C23" s="172"/>
      <c r="E23" s="170"/>
      <c r="F23" s="171"/>
      <c r="G23" s="172"/>
      <c r="I23" s="170"/>
      <c r="J23" s="171"/>
      <c r="K23" s="172"/>
      <c r="M23" s="170"/>
      <c r="N23" s="171"/>
      <c r="O23" s="172"/>
    </row>
    <row r="24" spans="1:15" x14ac:dyDescent="0.25">
      <c r="A24" s="170"/>
      <c r="B24" s="171"/>
      <c r="C24" s="172"/>
      <c r="E24" s="170"/>
      <c r="F24" s="171"/>
      <c r="G24" s="172"/>
      <c r="I24" s="170"/>
      <c r="J24" s="171"/>
      <c r="K24" s="172"/>
      <c r="M24" s="170"/>
      <c r="N24" s="171"/>
      <c r="O24" s="172"/>
    </row>
    <row r="25" spans="1:15" x14ac:dyDescent="0.25">
      <c r="A25" s="170"/>
      <c r="B25" s="171"/>
      <c r="C25" s="172"/>
      <c r="E25" s="170"/>
      <c r="F25" s="171"/>
      <c r="G25" s="172"/>
      <c r="I25" s="170"/>
      <c r="J25" s="171"/>
      <c r="K25" s="172"/>
      <c r="M25" s="170"/>
      <c r="N25" s="171"/>
      <c r="O25" s="172"/>
    </row>
    <row r="26" spans="1:15" x14ac:dyDescent="0.25">
      <c r="A26" s="170"/>
      <c r="B26" s="171"/>
      <c r="C26" s="172"/>
      <c r="E26" s="170"/>
      <c r="F26" s="171"/>
      <c r="G26" s="172"/>
      <c r="I26" s="170"/>
      <c r="J26" s="171"/>
      <c r="K26" s="172"/>
      <c r="M26" s="170"/>
      <c r="N26" s="171"/>
      <c r="O26" s="172"/>
    </row>
    <row r="27" spans="1:15" x14ac:dyDescent="0.25">
      <c r="A27" s="170"/>
      <c r="B27" s="171"/>
      <c r="C27" s="172"/>
      <c r="E27" s="170"/>
      <c r="F27" s="171"/>
      <c r="G27" s="172"/>
      <c r="I27" s="170"/>
      <c r="J27" s="171"/>
      <c r="K27" s="172"/>
      <c r="M27" s="170"/>
      <c r="N27" s="171"/>
      <c r="O27" s="172"/>
    </row>
    <row r="28" spans="1:15" x14ac:dyDescent="0.25">
      <c r="A28" s="170"/>
      <c r="B28" s="171"/>
      <c r="C28" s="172"/>
      <c r="E28" s="170"/>
      <c r="F28" s="171"/>
      <c r="G28" s="172"/>
      <c r="I28" s="170"/>
      <c r="J28" s="171"/>
      <c r="K28" s="172"/>
      <c r="M28" s="170"/>
      <c r="N28" s="171"/>
      <c r="O28" s="172"/>
    </row>
    <row r="29" spans="1:15" x14ac:dyDescent="0.25">
      <c r="A29" s="173"/>
      <c r="B29" s="174"/>
      <c r="C29" s="175"/>
      <c r="E29" s="173"/>
      <c r="F29" s="174"/>
      <c r="G29" s="175"/>
      <c r="I29" s="173"/>
      <c r="J29" s="174"/>
      <c r="K29" s="175"/>
      <c r="M29" s="173"/>
      <c r="N29" s="174"/>
      <c r="O29" s="175"/>
    </row>
  </sheetData>
  <mergeCells count="8">
    <mergeCell ref="I18:K29"/>
    <mergeCell ref="M18:O29"/>
    <mergeCell ref="A4:C15"/>
    <mergeCell ref="E4:G15"/>
    <mergeCell ref="I4:K15"/>
    <mergeCell ref="M4:O15"/>
    <mergeCell ref="A18:C29"/>
    <mergeCell ref="E18:G29"/>
  </mergeCells>
  <pageMargins left="0.7" right="0" top="0.75" bottom="0.75" header="0.3" footer="0.3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Vic-Stock</vt:lpstr>
      <vt:lpstr>Picture</vt:lpstr>
      <vt:lpstr>Sheet1</vt:lpstr>
      <vt:lpstr>'Vic-Stock'!Print_Titles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ucc</dc:creator>
  <cp:lastModifiedBy>Pc</cp:lastModifiedBy>
  <cp:lastPrinted>2025-06-19T04:48:33Z</cp:lastPrinted>
  <dcterms:created xsi:type="dcterms:W3CDTF">2016-04-02T08:14:22Z</dcterms:created>
  <dcterms:modified xsi:type="dcterms:W3CDTF">2026-05-14T05:06:10Z</dcterms:modified>
</cp:coreProperties>
</file>